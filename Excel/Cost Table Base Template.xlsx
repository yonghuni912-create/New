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"/>
    </mc:Choice>
  </mc:AlternateContent>
  <xr:revisionPtr revIDLastSave="0" documentId="8_{8FF75243-1FDC-4247-9E3E-9831A8F47CE5}" xr6:coauthVersionLast="47" xr6:coauthVersionMax="47" xr10:uidLastSave="{00000000-0000-0000-0000-000000000000}"/>
  <bookViews>
    <workbookView xWindow="-120" yWindow="-120" windowWidth="29040" windowHeight="15720" xr2:uid="{FE93EFC8-B5E5-48F1-8E42-D72CED7B207D}"/>
  </bookViews>
  <sheets>
    <sheet name="6.Cheesling Fries" sheetId="2" r:id="rId1"/>
  </sheets>
  <externalReferences>
    <externalReference r:id="rId2"/>
    <externalReference r:id="rId3"/>
    <externalReference r:id="rId4"/>
  </externalReferences>
  <definedNames>
    <definedName name="_23">#REF!</definedName>
    <definedName name="_233">#REF!</definedName>
    <definedName name="a">#REF!</definedName>
    <definedName name="ada">#REF!</definedName>
    <definedName name="adas">#REF!</definedName>
    <definedName name="CHICKEN">#REF!</definedName>
    <definedName name="chicken2">#REF!</definedName>
    <definedName name="daew">#REF!</definedName>
    <definedName name="ddds">#REF!</definedName>
    <definedName name="eradgsfvz">#REF!</definedName>
    <definedName name="ewd">#REF!</definedName>
    <definedName name="ewfsd">#REF!</definedName>
    <definedName name="fdfdfdfdf">#REF!</definedName>
    <definedName name="fefefefefefe">#REF!</definedName>
    <definedName name="fsddfa">#REF!</definedName>
    <definedName name="gkdl">#REF!</definedName>
    <definedName name="gtsers">#REF!</definedName>
    <definedName name="oo">#REF!</definedName>
    <definedName name="OTHERS">#REF!</definedName>
    <definedName name="PACKAGE">#REF!</definedName>
    <definedName name="qewe">#REF!</definedName>
    <definedName name="sasecec">#REF!</definedName>
    <definedName name="SAUCE">#REF!</definedName>
    <definedName name="sd">#REF!</definedName>
    <definedName name="sdfd">#REF!</definedName>
    <definedName name="UFPrn20061121112336">#REF!</definedName>
    <definedName name="Unit">[2]Sheet4!$A$2:$A$26</definedName>
    <definedName name="wq">#REF!</definedName>
    <definedName name="wqed">#REF!</definedName>
    <definedName name="가맹점리뉴얼">#REF!</definedName>
    <definedName name="가맹점리뉴얼1">#REF!</definedName>
    <definedName name="ㄴㅁㅇㄹㄴㄹ">#REF!</definedName>
    <definedName name="ㄴㅇㄹㄴㅇㄹ">#REF!</definedName>
    <definedName name="배달메뉴">#REF!</definedName>
    <definedName name="배달메뉴다">#REF!</definedName>
    <definedName name="불고기">#REF!</definedName>
    <definedName name="소스">#REF!</definedName>
    <definedName name="소스레시피">#REF!</definedName>
    <definedName name="ㅇㄴㅁㅇ">#REF!</definedName>
    <definedName name="ㅇㅈ">#REF!</definedName>
    <definedName name="ㅈㄷㄺㄷ">#REF!</definedName>
    <definedName name="황금올리브치킨">#REF!</definedName>
    <definedName name="황금올리브치킨1">#REF!</definedName>
    <definedName name="价格">[3]价格!$A$1:$G$158</definedName>
    <definedName name="现金营业额">#REF!</definedName>
    <definedName name="电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I7" i="2"/>
  <c r="J7" i="2"/>
  <c r="K7" i="2" s="1"/>
  <c r="H8" i="2"/>
  <c r="I8" i="2"/>
  <c r="K8" i="2" s="1"/>
  <c r="J8" i="2"/>
  <c r="H9" i="2"/>
  <c r="I9" i="2"/>
  <c r="K9" i="2" s="1"/>
  <c r="L9" i="2" s="1"/>
  <c r="J9" i="2"/>
  <c r="H10" i="2"/>
  <c r="I10" i="2"/>
  <c r="J10" i="2"/>
  <c r="K10" i="2"/>
  <c r="H11" i="2"/>
  <c r="I11" i="2"/>
  <c r="J11" i="2"/>
  <c r="K11" i="2"/>
  <c r="J14" i="2"/>
  <c r="K14" i="2"/>
  <c r="L14" i="2"/>
  <c r="K15" i="2"/>
  <c r="L15" i="2"/>
  <c r="K12" i="2" l="1"/>
  <c r="L11" i="2"/>
  <c r="L10" i="2"/>
  <c r="L7" i="2"/>
  <c r="L8" i="2"/>
  <c r="K18" i="2" l="1"/>
  <c r="K16" i="2"/>
  <c r="K19" i="2" s="1"/>
  <c r="L12" i="2"/>
</calcChain>
</file>

<file path=xl/sharedStrings.xml><?xml version="1.0" encoding="utf-8"?>
<sst xmlns="http://schemas.openxmlformats.org/spreadsheetml/2006/main" count="45" uniqueCount="35">
  <si>
    <t>Total Cost [%]</t>
  </si>
  <si>
    <t>Food Cost [%]</t>
  </si>
  <si>
    <t>Selling Price (Inc. package)</t>
  </si>
  <si>
    <t>Total Cost (Inc. package)</t>
  </si>
  <si>
    <t>Total</t>
  </si>
  <si>
    <t>ea</t>
  </si>
  <si>
    <t>paper box#1</t>
  </si>
  <si>
    <t>페이퍼박스 #1</t>
  </si>
  <si>
    <t>Portion [%]</t>
  </si>
  <si>
    <t>Material Cost [$]</t>
  </si>
  <si>
    <t>Yield factor</t>
  </si>
  <si>
    <t>Unit Price[$]</t>
  </si>
  <si>
    <t>Yield</t>
  </si>
  <si>
    <t>Unit</t>
  </si>
  <si>
    <t>Qty</t>
  </si>
  <si>
    <t>Type</t>
  </si>
  <si>
    <t>Package</t>
  </si>
  <si>
    <t>ml</t>
  </si>
  <si>
    <t>Canola oil</t>
  </si>
  <si>
    <t>카놀라유</t>
  </si>
  <si>
    <t>g</t>
  </si>
  <si>
    <t>Cheesling powder</t>
  </si>
  <si>
    <t>치즈맛 시즈닝</t>
  </si>
  <si>
    <t>Parsely flake</t>
  </si>
  <si>
    <t>파슬리</t>
  </si>
  <si>
    <t>Salt</t>
  </si>
  <si>
    <t>소금</t>
  </si>
  <si>
    <t>French fries</t>
  </si>
  <si>
    <t>감자튀김</t>
  </si>
  <si>
    <t>Weight</t>
  </si>
  <si>
    <t>Ingredient</t>
  </si>
  <si>
    <t>Food</t>
  </si>
  <si>
    <t>6. Cheesling Fries</t>
  </si>
  <si>
    <t>Food Cost</t>
  </si>
  <si>
    <t>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</si>
</sst>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"/>
    <numFmt numFmtId="165" formatCode="&quot;$&quot;\ 0.00"/>
    <numFmt numFmtId="166" formatCode="&quot;$&quot;\ 0.000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Malgun Gothic"/>
      <family val="2"/>
    </font>
    <font>
      <sz val="11"/>
      <name val="Aptos Narrow"/>
      <family val="2"/>
    </font>
    <font>
      <b/>
      <sz val="12"/>
      <color rgb="FF000000"/>
      <name val="Malgun Gothic"/>
      <family val="2"/>
    </font>
    <font>
      <b/>
      <sz val="11"/>
      <color rgb="FF000000"/>
      <name val="Malgun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Malgun Gothic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u/>
      <sz val="11"/>
      <color rgb="FF0000FF"/>
      <name val="Malgun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A4FA86"/>
        <bgColor rgb="FFA4FA86"/>
      </patternFill>
    </fill>
    <fill>
      <patternFill patternType="solid">
        <fgColor rgb="FFDDEBF7"/>
        <bgColor rgb="FFDDEBF7"/>
      </patternFill>
    </fill>
    <fill>
      <patternFill patternType="solid">
        <fgColor rgb="FFFBE5D7"/>
        <bgColor rgb="FFFBE5D7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3" fillId="0" borderId="5" xfId="1" applyFont="1" applyBorder="1"/>
    <xf numFmtId="164" fontId="4" fillId="2" borderId="6" xfId="1" applyNumberFormat="1" applyFont="1" applyFill="1" applyBorder="1" applyAlignment="1">
      <alignment horizontal="center" vertical="center"/>
    </xf>
    <xf numFmtId="0" fontId="3" fillId="0" borderId="7" xfId="1" applyFont="1" applyBorder="1"/>
    <xf numFmtId="0" fontId="4" fillId="2" borderId="6" xfId="1" applyFont="1" applyFill="1" applyBorder="1" applyAlignment="1">
      <alignment horizontal="center" vertical="center"/>
    </xf>
    <xf numFmtId="0" fontId="2" fillId="0" borderId="8" xfId="1" applyFont="1" applyBorder="1"/>
    <xf numFmtId="165" fontId="5" fillId="3" borderId="6" xfId="1" applyNumberFormat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166" fontId="5" fillId="4" borderId="6" xfId="1" applyNumberFormat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6" fontId="5" fillId="5" borderId="9" xfId="1" applyNumberFormat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166" fontId="2" fillId="0" borderId="9" xfId="1" applyNumberFormat="1" applyFont="1" applyBorder="1" applyAlignment="1">
      <alignment horizontal="center" vertical="center"/>
    </xf>
    <xf numFmtId="2" fontId="2" fillId="0" borderId="9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4" fillId="6" borderId="9" xfId="1" applyFont="1" applyFill="1" applyBorder="1" applyAlignment="1">
      <alignment horizontal="center" vertical="center"/>
    </xf>
    <xf numFmtId="0" fontId="4" fillId="7" borderId="9" xfId="1" applyFont="1" applyFill="1" applyBorder="1" applyAlignment="1">
      <alignment horizontal="center" vertical="center"/>
    </xf>
    <xf numFmtId="0" fontId="4" fillId="7" borderId="6" xfId="1" applyFont="1" applyFill="1" applyBorder="1" applyAlignment="1">
      <alignment horizontal="center" vertical="center"/>
    </xf>
    <xf numFmtId="166" fontId="7" fillId="0" borderId="9" xfId="1" applyNumberFormat="1" applyFont="1" applyBorder="1" applyAlignment="1">
      <alignment horizontal="center"/>
    </xf>
    <xf numFmtId="2" fontId="8" fillId="0" borderId="9" xfId="1" applyNumberFormat="1" applyFont="1" applyBorder="1" applyAlignment="1">
      <alignment horizontal="center"/>
    </xf>
    <xf numFmtId="0" fontId="2" fillId="8" borderId="9" xfId="1" applyFont="1" applyFill="1" applyBorder="1" applyAlignment="1">
      <alignment horizontal="center" vertical="center" shrinkToFit="1"/>
    </xf>
    <xf numFmtId="0" fontId="4" fillId="7" borderId="6" xfId="1" applyFont="1" applyFill="1" applyBorder="1" applyAlignment="1">
      <alignment horizontal="center" vertical="center"/>
    </xf>
    <xf numFmtId="0" fontId="6" fillId="0" borderId="0" xfId="1" applyFont="1"/>
    <xf numFmtId="0" fontId="1" fillId="0" borderId="0" xfId="1"/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2" fillId="0" borderId="10" xfId="1" applyFont="1" applyBorder="1"/>
    <xf numFmtId="0" fontId="11" fillId="0" borderId="11" xfId="1" applyFont="1" applyBorder="1" applyAlignment="1">
      <alignment horizontal="center" vertical="center"/>
    </xf>
    <xf numFmtId="0" fontId="2" fillId="0" borderId="11" xfId="1" applyFont="1" applyBorder="1"/>
    <xf numFmtId="0" fontId="2" fillId="0" borderId="12" xfId="1" applyFont="1" applyBorder="1"/>
  </cellXfs>
  <cellStyles count="2">
    <cellStyle name="표준" xfId="0" builtinId="0"/>
    <cellStyle name="표준 2" xfId="1" xr:uid="{C5485CF3-0E1F-4782-AB3F-8D3D0F8413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unbb\OneDrive\&#44592;&#48376;\&#48148;&#53461;%20&#54868;&#47732;\BC\2025%20BC%20&#54032;&#47588;&#44032;%20&#51064;&#49345;\&#50896;&#44032;&#54028;&#51068;-20250506%20(1).xlsx" TargetMode="External"/><Relationship Id="rId1" Type="http://schemas.openxmlformats.org/officeDocument/2006/relationships/externalLinkPath" Target="file:///C:\Users\kunbb\OneDrive\&#44592;&#48376;\&#48148;&#53461;%20&#54868;&#47732;\BC\2025%20BC%20&#54032;&#47588;&#44032;%20&#51064;&#49345;\&#50896;&#44032;&#54028;&#51068;-20250506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group.genesiskorea.co.kr\My%20Documents\&#54588;&#51088;\2006\P&amp;L\06TTLP&amp;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25D069\03.&#51116;&#47924;&#44277;&#44553;&#44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data"/>
      <sheetName val="1. Cucu Salad _x0009__x0009_"/>
      <sheetName val="2. Kale Caesar Salad _x0009__x0"/>
      <sheetName val="3.Corn Salad"/>
      <sheetName val="4.Coleslaw"/>
      <sheetName val="5.Fries &amp; Dip"/>
      <sheetName val="7. Red Chak-Chak Fries_x0009__x"/>
      <sheetName val="8. Hot Spicy Fries_x0009__x0009"/>
      <sheetName val="9. Secret Fries_x0009__x0009_"/>
      <sheetName val="10. Pulled Chicken Poutine_x000"/>
      <sheetName val="11. Cheese Ball_x0009__x0009_"/>
      <sheetName val="12. Spicy Dukk-Bokki_x0009__x00"/>
      <sheetName val="60. Rose Ddukbokki _x0009__x000"/>
      <sheetName val="61. Rose Ddukbokki Platter_x000"/>
      <sheetName val="62. Spicy Ddukbokki Platter_x00"/>
      <sheetName val="13.Golden Fried Chicken(8p) (2)"/>
      <sheetName val="13.Golden Fried Chicken(8p)"/>
      <sheetName val="14.Golden Fried Chicken(BLS)"/>
      <sheetName val="15. Secret Sauce Chicken(8p) "/>
      <sheetName val="16.Secret Sauce Chicken(BLS)"/>
      <sheetName val="17.Hot Spicy Chicken(8p)"/>
      <sheetName val="18.Hot Spicy Chicken(BLS)"/>
      <sheetName val="19.Soy Garlic Chicken(8p)"/>
      <sheetName val="20.Soy Garlic Chicken(BLS)"/>
      <sheetName val="21.Honey Garlic Chicken(8p)"/>
      <sheetName val="22.Honey Garlic Chicken(BLS)"/>
      <sheetName val="23. Hot Crispy Chicken_x0009__x"/>
      <sheetName val="24.Red ChakChak(8p)"/>
      <sheetName val="25. Black Pepper Chicken(8pcs)_"/>
      <sheetName val="26.Cheesling Chicken(8p)"/>
      <sheetName val="27.Cheesling Chicken(BLS)"/>
      <sheetName val="28.Gang-Jeong Chicken(8p)"/>
      <sheetName val="29.Gang-Jeong Chicken(BLS)"/>
      <sheetName val="30.Mala-Hot Chicken(8p)"/>
      <sheetName val="31.Mala-Hot Chicken(BLS)"/>
      <sheetName val="32.Gangnam-style Chicken(8p)"/>
      <sheetName val="33.Gangnam-style Chicken(BLS)"/>
      <sheetName val="34.Galbi-Q chicken(8p)"/>
      <sheetName val="35.Galbi-Q chicken(BLS)"/>
      <sheetName val="Caribbean spice (8p)"/>
      <sheetName val="Caribbean spice(BLS)"/>
      <sheetName val="36.BB Wings(7pcs)"/>
      <sheetName val="37.Wings of Fire(7pcs)"/>
      <sheetName val="38.Jamaican grilled wing(7pcs)"/>
      <sheetName val="39.Honey Garlic Wing(7pcs)"/>
      <sheetName val="Mara hot wing(7pcs)"/>
      <sheetName val="Gangnam style wing(7pcs)"/>
      <sheetName val="Gangjeong wing(7pcs)"/>
      <sheetName val="Galbi Q wing(7pcs)"/>
      <sheetName val="Caribbean spice wing(7pcs)"/>
      <sheetName val="40.Soy Garlic Wing(7pcs)"/>
      <sheetName val="41.Cheesling Wings(7pcs)"/>
      <sheetName val="42.Cheese Bul-Dak"/>
      <sheetName val="43. Cheese Galbi_x0009__x0009_"/>
      <sheetName val="44. Cheese Bul-Dak Hot Dog_x000"/>
      <sheetName val="45. Cheese Galbi Hot Dog_x0009_"/>
      <sheetName val="46.Mala Hot Chicken Over Rice"/>
      <sheetName val="47.Soy Garlic Chicken Over Rice"/>
      <sheetName val="48.Jamaican Chicken Over Rice"/>
      <sheetName val="49.Jamaican Grilled Over Rice"/>
      <sheetName val="50.Galbi Grilled Over Rice"/>
      <sheetName val="51.Spicy grilled over rice"/>
      <sheetName val="52. Country Chicken Burger_x000"/>
      <sheetName val="garlic mayo"/>
      <sheetName val="mala mayo"/>
      <sheetName val="53. Fried Chicken Burger_x0009_"/>
      <sheetName val="54. Grilled Chicken Burger_x000"/>
      <sheetName val="55. Pulled Chicken Burger_x0009"/>
      <sheetName val="56. Deep Fried Fish Cake_x0009_"/>
      <sheetName val="57. Pulled Chicken Chips_x0009_"/>
      <sheetName val="59. Oden Hot Pot_x0009__x0009_"/>
      <sheetName val="63. BBQ Noodles Soup_x0009__x00"/>
      <sheetName val="64. BBQ Bibim Noodles_x0009__x0"/>
      <sheetName val="66. Crispy Jamaican Skewers_x00"/>
      <sheetName val="67. Crispy Galbi Skewers_x0009_"/>
      <sheetName val="68. Crispy Spicy Skewers_x0009_"/>
      <sheetName val="69. Jamaican Chicken Skillet_x0"/>
      <sheetName val="70. Jamaican Chicken Skillet (l"/>
      <sheetName val="71. Galbi Chicken Skillet_x0009"/>
      <sheetName val="72. Galbi Chicken Skillet (lett"/>
      <sheetName val="73. Spicy Chicken Skillet_x0009"/>
      <sheetName val="74. Spicy Chicken Skillet (lett"/>
      <sheetName val="75. Pa-dak  Boneless _x0009__x0"/>
      <sheetName val="76. Bungssa ice_x0009__x0009_"/>
      <sheetName val="77. Spicy Cheesy Dip_x0009__x00"/>
      <sheetName val="78.Mian Bao Xia (6pcs)"/>
      <sheetName val="79.Coq-pop"/>
      <sheetName val="80.Garlic Mayo"/>
      <sheetName val="시트1"/>
      <sheetName val="cucu Dressing"/>
      <sheetName val="1. Mozza Stick"/>
      <sheetName val="Ref_Dipping Sauce"/>
      <sheetName val="Ref_Grilling Sauce"/>
      <sheetName val="Ref_Sauce others"/>
      <sheetName val="2. Sso-Tteok (secret)"/>
      <sheetName val="3. Corn Cheese"/>
      <sheetName val="4. Onion Rings"/>
      <sheetName val="5-1. Crispy Cauliflower"/>
      <sheetName val="5-2. Secret Cauliflower"/>
      <sheetName val="Rose &amp; Mac &amp; Cauliflower"/>
      <sheetName val="5-3. HOT CRISPY CAULIFLOWER"/>
      <sheetName val="5-4. Cauliflower Combo_Fries"/>
      <sheetName val="5-5. CAULIFLOWER COMBO_Salad"/>
      <sheetName val="5-5. CAULIFLOWER COMBO_Salad의 사"/>
      <sheetName val="6. Cream Dukk-bokki"/>
      <sheetName val="7-1. Kimch Oden Hot Pot"/>
      <sheetName val="Kimch Fried Rice"/>
      <sheetName val="Cream Onion Chicken"/>
      <sheetName val="(BLS)Creamy Jalapeño Chicken"/>
      <sheetName val="(BI)Creamy Jalapeño Chicken"/>
      <sheetName val="(W)Creamy Jalapeño Chicken"/>
      <sheetName val="Beef Bulgogi Over Rice"/>
      <sheetName val="Kimchi Fried Rice"/>
      <sheetName val="Kimchi Fries"/>
      <sheetName val="Bulgogi Fries"/>
      <sheetName val="(프렙)Cream Onion Sauce"/>
      <sheetName val="(Prep)Creamy Jalapeño sauce"/>
      <sheetName val="Spicy Jjimddak(s)"/>
      <sheetName val="Spicy Jjimddak (L)"/>
      <sheetName val="Jjimddak(s)"/>
      <sheetName val="Jjimddak (L)"/>
      <sheetName val="Rose Jjimddak(s)"/>
      <sheetName val="Rose Jjimddak(L)"/>
      <sheetName val="Creamy Jjimddak (S)"/>
      <sheetName val="Creamy Jjimddak (L)"/>
      <sheetName val="Mala cream Jjimddak(S)"/>
      <sheetName val="Mala cream Jjimddak(L)"/>
      <sheetName val="Seafood Sundubu Jjigae"/>
      <sheetName val="Kimchi Sundubu Jjigae"/>
      <sheetName val="Beef Sundubu Jjigae"/>
      <sheetName val="KIMCHI JJIGAE"/>
      <sheetName val="DOENJANG JJIGAE"/>
      <sheetName val="Master Price page"/>
      <sheetName val="(Drop) JJIM-DAK Over Rice"/>
      <sheetName val="(프렙)Kimchi base"/>
      <sheetName val="(Prep)Sundubu-Dadaeki"/>
      <sheetName val="KIMCHI JJIGAE BASE"/>
      <sheetName val="58. Whelk Hot Pot_x0009__x0009_"/>
      <sheetName val="bb.q dashi"/>
      <sheetName val="65. BBQ Bibim Noodles with Wh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4">
          <cell r="F4" t="str">
            <v>Canola oil</v>
          </cell>
          <cell r="H4">
            <v>16000</v>
          </cell>
          <cell r="I4" t="str">
            <v>ml</v>
          </cell>
          <cell r="J4">
            <v>0.99</v>
          </cell>
          <cell r="K4">
            <v>55.65</v>
          </cell>
          <cell r="M4">
            <v>3.4781249999999999E-3</v>
          </cell>
        </row>
        <row r="5">
          <cell r="F5" t="str">
            <v>Whole chicken</v>
          </cell>
          <cell r="H5">
            <v>20</v>
          </cell>
          <cell r="I5" t="str">
            <v>pcs</v>
          </cell>
          <cell r="J5">
            <v>0.95</v>
          </cell>
          <cell r="K5">
            <v>89.4</v>
          </cell>
          <cell r="M5">
            <v>4.4700000000000006</v>
          </cell>
        </row>
        <row r="6">
          <cell r="F6" t="str">
            <v>Whole chicken[H]</v>
          </cell>
          <cell r="H6">
            <v>20</v>
          </cell>
          <cell r="I6" t="str">
            <v>pcs</v>
          </cell>
          <cell r="J6">
            <v>0.95</v>
          </cell>
          <cell r="K6">
            <v>79.5</v>
          </cell>
          <cell r="M6">
            <v>3.9750000000000001</v>
          </cell>
        </row>
        <row r="7">
          <cell r="F7" t="str">
            <v>Split wing</v>
          </cell>
          <cell r="H7">
            <v>1000</v>
          </cell>
          <cell r="I7" t="str">
            <v>g</v>
          </cell>
          <cell r="J7">
            <v>0.9</v>
          </cell>
          <cell r="K7">
            <v>9.5</v>
          </cell>
          <cell r="M7">
            <v>9.4999999999999998E-3</v>
          </cell>
        </row>
        <row r="8">
          <cell r="F8" t="str">
            <v>Thigh</v>
          </cell>
          <cell r="H8">
            <v>1000</v>
          </cell>
          <cell r="I8" t="str">
            <v>g</v>
          </cell>
          <cell r="J8">
            <v>0.82</v>
          </cell>
          <cell r="K8">
            <v>7.99</v>
          </cell>
          <cell r="M8">
            <v>7.9900000000000006E-3</v>
          </cell>
        </row>
        <row r="9">
          <cell r="F9" t="str">
            <v>Onion sauce</v>
          </cell>
          <cell r="H9">
            <v>10000</v>
          </cell>
          <cell r="I9" t="str">
            <v>g</v>
          </cell>
          <cell r="J9">
            <v>0.95</v>
          </cell>
          <cell r="K9">
            <v>71.19</v>
          </cell>
          <cell r="M9">
            <v>7.1189999999999995E-3</v>
          </cell>
        </row>
        <row r="10">
          <cell r="F10" t="str">
            <v>Deri sauce</v>
          </cell>
          <cell r="H10">
            <v>10000</v>
          </cell>
          <cell r="I10" t="str">
            <v>g</v>
          </cell>
          <cell r="J10">
            <v>0.95</v>
          </cell>
          <cell r="K10">
            <v>66.650000000000006</v>
          </cell>
          <cell r="M10">
            <v>6.6650000000000008E-3</v>
          </cell>
        </row>
        <row r="11">
          <cell r="F11" t="str">
            <v>Mala sauce</v>
          </cell>
          <cell r="H11">
            <v>10000</v>
          </cell>
          <cell r="I11" t="str">
            <v>g</v>
          </cell>
          <cell r="J11">
            <v>0.95</v>
          </cell>
          <cell r="K11">
            <v>119.56</v>
          </cell>
          <cell r="M11">
            <v>1.1956E-2</v>
          </cell>
        </row>
        <row r="12">
          <cell r="F12" t="str">
            <v>Hot Spicy Sauce</v>
          </cell>
          <cell r="H12">
            <v>10000</v>
          </cell>
          <cell r="I12" t="str">
            <v>g</v>
          </cell>
          <cell r="J12">
            <v>0.95</v>
          </cell>
          <cell r="K12">
            <v>58.18</v>
          </cell>
          <cell r="M12">
            <v>5.8180000000000003E-3</v>
          </cell>
        </row>
        <row r="13">
          <cell r="F13" t="str">
            <v>Honey Pepper Sauce</v>
          </cell>
          <cell r="H13">
            <v>10000</v>
          </cell>
          <cell r="I13" t="str">
            <v>g</v>
          </cell>
          <cell r="J13">
            <v>0.95</v>
          </cell>
          <cell r="K13">
            <v>58.52</v>
          </cell>
          <cell r="M13">
            <v>5.8520000000000004E-3</v>
          </cell>
        </row>
        <row r="14">
          <cell r="F14" t="str">
            <v>Soy Garlic Sauce</v>
          </cell>
          <cell r="H14">
            <v>10000</v>
          </cell>
          <cell r="I14" t="str">
            <v>g</v>
          </cell>
          <cell r="J14">
            <v>0.95</v>
          </cell>
          <cell r="K14">
            <v>71</v>
          </cell>
          <cell r="M14">
            <v>7.1000000000000004E-3</v>
          </cell>
        </row>
        <row r="15">
          <cell r="F15" t="str">
            <v>Secret Sauce</v>
          </cell>
          <cell r="H15">
            <v>10000</v>
          </cell>
          <cell r="I15" t="str">
            <v>g</v>
          </cell>
          <cell r="J15">
            <v>0.95</v>
          </cell>
          <cell r="K15">
            <v>40.43</v>
          </cell>
          <cell r="M15">
            <v>4.0429999999999997E-3</v>
          </cell>
        </row>
        <row r="16">
          <cell r="F16" t="str">
            <v>Jerk BBQ Sauce</v>
          </cell>
          <cell r="H16">
            <v>10000</v>
          </cell>
          <cell r="I16" t="str">
            <v>g</v>
          </cell>
          <cell r="J16">
            <v>0.95</v>
          </cell>
          <cell r="K16">
            <v>56.17</v>
          </cell>
          <cell r="M16">
            <v>5.6170000000000005E-3</v>
          </cell>
        </row>
        <row r="17">
          <cell r="F17" t="str">
            <v>Honey Garlic Sauce</v>
          </cell>
          <cell r="H17">
            <v>10000</v>
          </cell>
          <cell r="I17" t="str">
            <v>g</v>
          </cell>
          <cell r="J17">
            <v>0.95</v>
          </cell>
          <cell r="K17">
            <v>90</v>
          </cell>
          <cell r="M17">
            <v>8.9999999999999993E-3</v>
          </cell>
        </row>
        <row r="18">
          <cell r="F18" t="str">
            <v>Tokkbokki sauce</v>
          </cell>
          <cell r="H18">
            <v>10000</v>
          </cell>
          <cell r="I18" t="str">
            <v>g</v>
          </cell>
          <cell r="J18">
            <v>0.95</v>
          </cell>
          <cell r="K18">
            <v>105.79</v>
          </cell>
          <cell r="M18">
            <v>1.0579E-2</v>
          </cell>
        </row>
        <row r="19">
          <cell r="F19" t="str">
            <v>Galbi Sauce</v>
          </cell>
          <cell r="H19">
            <v>12000</v>
          </cell>
          <cell r="I19" t="str">
            <v>g</v>
          </cell>
          <cell r="J19">
            <v>0.95</v>
          </cell>
          <cell r="K19">
            <v>86.48</v>
          </cell>
          <cell r="M19">
            <v>7.2066666666666668E-3</v>
          </cell>
        </row>
        <row r="20">
          <cell r="F20" t="str">
            <v>Cheesling Powder</v>
          </cell>
          <cell r="H20">
            <v>7500</v>
          </cell>
          <cell r="I20" t="str">
            <v>g</v>
          </cell>
          <cell r="J20">
            <v>0.95</v>
          </cell>
          <cell r="K20">
            <v>104.06</v>
          </cell>
          <cell r="M20">
            <v>1.3874666666666667E-2</v>
          </cell>
        </row>
        <row r="21">
          <cell r="F21" t="str">
            <v>Pickle Solution</v>
          </cell>
          <cell r="H21">
            <v>34000</v>
          </cell>
          <cell r="I21" t="str">
            <v>g</v>
          </cell>
          <cell r="J21">
            <v>0.95</v>
          </cell>
          <cell r="K21">
            <v>69.91</v>
          </cell>
          <cell r="M21">
            <v>2.0561764705882353E-3</v>
          </cell>
        </row>
        <row r="22">
          <cell r="F22" t="str">
            <v>Battering mix [Olive]</v>
          </cell>
          <cell r="H22">
            <v>20000</v>
          </cell>
          <cell r="I22" t="str">
            <v>g</v>
          </cell>
          <cell r="J22">
            <v>0.95</v>
          </cell>
          <cell r="K22">
            <v>78.5</v>
          </cell>
          <cell r="M22">
            <v>3.9249999999999997E-3</v>
          </cell>
        </row>
        <row r="23">
          <cell r="F23" t="str">
            <v>Battering mix [HoneyGarlic]</v>
          </cell>
          <cell r="H23">
            <v>20000</v>
          </cell>
          <cell r="I23" t="str">
            <v>g</v>
          </cell>
          <cell r="J23">
            <v>0.95</v>
          </cell>
          <cell r="K23">
            <v>78.569999999999993</v>
          </cell>
          <cell r="M23">
            <v>3.9284999999999997E-3</v>
          </cell>
        </row>
        <row r="24">
          <cell r="F24" t="str">
            <v>Marinating Mix [Olive]</v>
          </cell>
          <cell r="H24">
            <v>20000</v>
          </cell>
          <cell r="I24" t="str">
            <v>g</v>
          </cell>
          <cell r="J24">
            <v>0.95</v>
          </cell>
          <cell r="K24">
            <v>146.54</v>
          </cell>
          <cell r="M24">
            <v>7.3269999999999993E-3</v>
          </cell>
        </row>
        <row r="25">
          <cell r="F25" t="str">
            <v>-</v>
          </cell>
          <cell r="H25">
            <v>20000</v>
          </cell>
          <cell r="I25" t="str">
            <v>g</v>
          </cell>
          <cell r="J25">
            <v>0.95</v>
          </cell>
          <cell r="K25">
            <v>68.83</v>
          </cell>
          <cell r="M25">
            <v>3.4415000000000001E-3</v>
          </cell>
        </row>
        <row r="26">
          <cell r="F26" t="str">
            <v>Marinating Mix [BBWing]</v>
          </cell>
          <cell r="H26">
            <v>20000</v>
          </cell>
          <cell r="I26" t="str">
            <v>g</v>
          </cell>
          <cell r="J26">
            <v>0.95</v>
          </cell>
          <cell r="K26">
            <v>206.72</v>
          </cell>
          <cell r="M26">
            <v>1.0336E-2</v>
          </cell>
        </row>
        <row r="27">
          <cell r="F27" t="str">
            <v>-</v>
          </cell>
          <cell r="H27">
            <v>20000</v>
          </cell>
          <cell r="I27" t="str">
            <v>g</v>
          </cell>
          <cell r="J27">
            <v>1</v>
          </cell>
          <cell r="K27">
            <v>151.62</v>
          </cell>
          <cell r="M27">
            <v>7.5810000000000001E-3</v>
          </cell>
        </row>
        <row r="28">
          <cell r="F28" t="str">
            <v>Jerk seasoning</v>
          </cell>
          <cell r="H28">
            <v>20000</v>
          </cell>
          <cell r="I28" t="str">
            <v>g</v>
          </cell>
          <cell r="J28">
            <v>1</v>
          </cell>
          <cell r="K28">
            <v>312.82</v>
          </cell>
          <cell r="M28">
            <v>1.5640999999999999E-2</v>
          </cell>
        </row>
        <row r="29">
          <cell r="F29" t="str">
            <v>Gold Dust Crunch</v>
          </cell>
          <cell r="H29">
            <v>2000</v>
          </cell>
          <cell r="I29" t="str">
            <v>g</v>
          </cell>
          <cell r="J29">
            <v>0.95</v>
          </cell>
          <cell r="K29">
            <v>30.62</v>
          </cell>
          <cell r="M29">
            <v>1.5310000000000001E-2</v>
          </cell>
        </row>
        <row r="30">
          <cell r="F30" t="str">
            <v>Box Tray [M]</v>
          </cell>
          <cell r="H30">
            <v>100</v>
          </cell>
          <cell r="I30" t="str">
            <v>ea</v>
          </cell>
          <cell r="J30">
            <v>1</v>
          </cell>
          <cell r="K30">
            <v>6.73</v>
          </cell>
          <cell r="M30">
            <v>6.7299999999999999E-2</v>
          </cell>
        </row>
        <row r="31">
          <cell r="F31" t="str">
            <v>Box Tray [S]</v>
          </cell>
          <cell r="H31">
            <v>100</v>
          </cell>
          <cell r="I31" t="str">
            <v>ea</v>
          </cell>
          <cell r="J31">
            <v>1</v>
          </cell>
          <cell r="K31">
            <v>5.98</v>
          </cell>
          <cell r="M31">
            <v>5.9800000000000006E-2</v>
          </cell>
        </row>
        <row r="32">
          <cell r="F32" t="str">
            <v>-</v>
          </cell>
          <cell r="H32">
            <v>500</v>
          </cell>
          <cell r="I32" t="str">
            <v>ea</v>
          </cell>
          <cell r="J32">
            <v>1</v>
          </cell>
          <cell r="K32">
            <v>14.3</v>
          </cell>
          <cell r="M32">
            <v>2.86E-2</v>
          </cell>
        </row>
        <row r="33">
          <cell r="F33" t="str">
            <v>-</v>
          </cell>
          <cell r="H33">
            <v>500</v>
          </cell>
          <cell r="I33" t="str">
            <v>ea</v>
          </cell>
          <cell r="J33">
            <v>1</v>
          </cell>
          <cell r="K33">
            <v>21.26</v>
          </cell>
          <cell r="M33">
            <v>4.2520000000000002E-2</v>
          </cell>
        </row>
        <row r="34">
          <cell r="F34" t="str">
            <v>-</v>
          </cell>
          <cell r="H34">
            <v>500</v>
          </cell>
          <cell r="I34" t="str">
            <v>ea</v>
          </cell>
          <cell r="J34">
            <v>1</v>
          </cell>
          <cell r="K34">
            <v>9.9600000000000009</v>
          </cell>
          <cell r="M34">
            <v>1.992E-2</v>
          </cell>
        </row>
        <row r="35">
          <cell r="F35" t="str">
            <v>-</v>
          </cell>
          <cell r="H35">
            <v>2000</v>
          </cell>
          <cell r="I35" t="str">
            <v>ea</v>
          </cell>
          <cell r="J35">
            <v>1</v>
          </cell>
          <cell r="K35">
            <v>127.23</v>
          </cell>
          <cell r="M35">
            <v>6.3615000000000005E-2</v>
          </cell>
        </row>
        <row r="36">
          <cell r="F36" t="str">
            <v>-</v>
          </cell>
          <cell r="H36">
            <v>2000</v>
          </cell>
          <cell r="I36" t="str">
            <v>ea</v>
          </cell>
          <cell r="J36">
            <v>1</v>
          </cell>
          <cell r="K36">
            <v>50</v>
          </cell>
          <cell r="M36">
            <v>2.5000000000000001E-2</v>
          </cell>
        </row>
        <row r="37">
          <cell r="F37" t="str">
            <v>-</v>
          </cell>
          <cell r="H37">
            <v>2000</v>
          </cell>
          <cell r="I37" t="str">
            <v>ea</v>
          </cell>
          <cell r="J37">
            <v>1</v>
          </cell>
          <cell r="K37">
            <v>53.76</v>
          </cell>
          <cell r="M37">
            <v>2.6879999999999998E-2</v>
          </cell>
        </row>
        <row r="38">
          <cell r="F38" t="str">
            <v>Package Box [L]</v>
          </cell>
          <cell r="H38">
            <v>100</v>
          </cell>
          <cell r="I38" t="str">
            <v>ea</v>
          </cell>
          <cell r="J38">
            <v>1</v>
          </cell>
          <cell r="K38">
            <v>35.5</v>
          </cell>
          <cell r="M38">
            <v>0.35499999999999998</v>
          </cell>
        </row>
        <row r="39">
          <cell r="F39" t="str">
            <v>Package Box [M]</v>
          </cell>
          <cell r="H39">
            <v>100</v>
          </cell>
          <cell r="I39" t="str">
            <v>ea</v>
          </cell>
          <cell r="J39">
            <v>1</v>
          </cell>
          <cell r="K39">
            <v>25.98</v>
          </cell>
          <cell r="M39">
            <v>0.25980000000000003</v>
          </cell>
        </row>
        <row r="40">
          <cell r="F40" t="str">
            <v>Package Box [S]</v>
          </cell>
          <cell r="H40">
            <v>100</v>
          </cell>
          <cell r="I40" t="str">
            <v>ea</v>
          </cell>
          <cell r="J40">
            <v>1</v>
          </cell>
          <cell r="K40">
            <v>26.09</v>
          </cell>
          <cell r="M40">
            <v>0.26090000000000002</v>
          </cell>
        </row>
        <row r="41">
          <cell r="F41" t="str">
            <v>-</v>
          </cell>
          <cell r="H41">
            <v>50</v>
          </cell>
          <cell r="I41" t="str">
            <v>ea</v>
          </cell>
          <cell r="J41">
            <v>1</v>
          </cell>
          <cell r="K41">
            <v>17.440000000000001</v>
          </cell>
          <cell r="M41">
            <v>0.3488</v>
          </cell>
        </row>
        <row r="42">
          <cell r="F42" t="str">
            <v>-</v>
          </cell>
          <cell r="H42">
            <v>50</v>
          </cell>
          <cell r="I42" t="str">
            <v>ea</v>
          </cell>
          <cell r="J42">
            <v>1</v>
          </cell>
          <cell r="K42">
            <v>17.440000000000001</v>
          </cell>
          <cell r="M42">
            <v>0.3488</v>
          </cell>
        </row>
        <row r="43">
          <cell r="F43" t="str">
            <v>-</v>
          </cell>
          <cell r="H43">
            <v>50</v>
          </cell>
          <cell r="I43" t="str">
            <v>ea</v>
          </cell>
          <cell r="J43">
            <v>1</v>
          </cell>
          <cell r="K43">
            <v>17.440000000000001</v>
          </cell>
          <cell r="M43">
            <v>0.3488</v>
          </cell>
        </row>
        <row r="44">
          <cell r="F44" t="str">
            <v>-</v>
          </cell>
          <cell r="H44">
            <v>50</v>
          </cell>
          <cell r="I44" t="str">
            <v>ea</v>
          </cell>
          <cell r="J44">
            <v>1</v>
          </cell>
          <cell r="K44">
            <v>17.440000000000001</v>
          </cell>
          <cell r="M44">
            <v>0.3488</v>
          </cell>
        </row>
        <row r="45">
          <cell r="F45" t="str">
            <v>-</v>
          </cell>
          <cell r="H45">
            <v>50</v>
          </cell>
          <cell r="I45" t="str">
            <v>ea</v>
          </cell>
          <cell r="J45">
            <v>1</v>
          </cell>
          <cell r="K45">
            <v>12.68</v>
          </cell>
          <cell r="M45">
            <v>0.25359999999999999</v>
          </cell>
        </row>
        <row r="46">
          <cell r="F46" t="str">
            <v>Tokkbokki container</v>
          </cell>
          <cell r="H46">
            <v>300</v>
          </cell>
          <cell r="I46" t="str">
            <v>ea</v>
          </cell>
          <cell r="J46">
            <v>1</v>
          </cell>
          <cell r="K46">
            <v>63.19</v>
          </cell>
          <cell r="M46">
            <v>0.21063333333333334</v>
          </cell>
        </row>
        <row r="47">
          <cell r="F47" t="str">
            <v>Tokkbokki container lid</v>
          </cell>
          <cell r="H47">
            <v>300</v>
          </cell>
          <cell r="I47" t="str">
            <v>ea</v>
          </cell>
          <cell r="J47">
            <v>1</v>
          </cell>
          <cell r="K47">
            <v>58.59</v>
          </cell>
          <cell r="M47">
            <v>0.1953</v>
          </cell>
        </row>
        <row r="48">
          <cell r="F48" t="str">
            <v>Moon tray</v>
          </cell>
          <cell r="H48">
            <v>600</v>
          </cell>
          <cell r="I48" t="str">
            <v>ea</v>
          </cell>
          <cell r="J48">
            <v>1</v>
          </cell>
          <cell r="K48">
            <v>107.62</v>
          </cell>
          <cell r="M48">
            <v>0.17936666666666667</v>
          </cell>
        </row>
        <row r="49">
          <cell r="F49" t="str">
            <v>-</v>
          </cell>
          <cell r="H49">
            <v>1000</v>
          </cell>
          <cell r="I49" t="str">
            <v>ea</v>
          </cell>
          <cell r="J49">
            <v>1</v>
          </cell>
          <cell r="K49">
            <v>18.489999999999998</v>
          </cell>
          <cell r="M49">
            <v>1.8489999999999999E-2</v>
          </cell>
        </row>
        <row r="50">
          <cell r="F50" t="str">
            <v>-</v>
          </cell>
          <cell r="H50">
            <v>2500</v>
          </cell>
          <cell r="I50" t="str">
            <v>ea</v>
          </cell>
          <cell r="J50">
            <v>1</v>
          </cell>
          <cell r="K50">
            <v>40.03</v>
          </cell>
          <cell r="M50">
            <v>1.6012000000000002E-2</v>
          </cell>
        </row>
        <row r="51">
          <cell r="F51" t="str">
            <v>-</v>
          </cell>
          <cell r="H51">
            <v>2500</v>
          </cell>
          <cell r="I51" t="str">
            <v>ea</v>
          </cell>
          <cell r="J51">
            <v>1</v>
          </cell>
          <cell r="K51">
            <v>40.03</v>
          </cell>
          <cell r="M51">
            <v>1.6012000000000002E-2</v>
          </cell>
        </row>
        <row r="52">
          <cell r="F52" t="str">
            <v>4oz cup</v>
          </cell>
          <cell r="H52">
            <v>2500</v>
          </cell>
          <cell r="I52" t="str">
            <v>ea</v>
          </cell>
          <cell r="J52">
            <v>1</v>
          </cell>
          <cell r="K52">
            <v>59.95</v>
          </cell>
          <cell r="M52">
            <v>2.3980000000000001E-2</v>
          </cell>
        </row>
        <row r="53">
          <cell r="F53" t="str">
            <v>4oz lid</v>
          </cell>
          <cell r="H53">
            <v>2500</v>
          </cell>
          <cell r="I53" t="str">
            <v>ea</v>
          </cell>
          <cell r="J53">
            <v>1</v>
          </cell>
          <cell r="K53">
            <v>59.95</v>
          </cell>
          <cell r="M53">
            <v>2.3980000000000001E-2</v>
          </cell>
        </row>
        <row r="54">
          <cell r="F54" t="str">
            <v>8oz cup</v>
          </cell>
          <cell r="H54">
            <v>2500</v>
          </cell>
          <cell r="I54" t="str">
            <v>ea</v>
          </cell>
          <cell r="J54">
            <v>1</v>
          </cell>
          <cell r="K54">
            <v>59.5</v>
          </cell>
          <cell r="M54">
            <v>2.3800000000000002E-2</v>
          </cell>
        </row>
        <row r="55">
          <cell r="F55" t="str">
            <v>8oz lid</v>
          </cell>
          <cell r="H55">
            <v>2500</v>
          </cell>
          <cell r="I55" t="str">
            <v>ea</v>
          </cell>
          <cell r="J55">
            <v>1</v>
          </cell>
          <cell r="K55">
            <v>33.5</v>
          </cell>
          <cell r="M55">
            <v>1.34E-2</v>
          </cell>
        </row>
        <row r="56">
          <cell r="F56" t="str">
            <v>Cheese balls Paper</v>
          </cell>
          <cell r="H56">
            <v>2000</v>
          </cell>
          <cell r="I56" t="str">
            <v>ea</v>
          </cell>
          <cell r="J56">
            <v>1</v>
          </cell>
          <cell r="K56">
            <v>24.65</v>
          </cell>
          <cell r="M56">
            <v>1.2324999999999999E-2</v>
          </cell>
        </row>
        <row r="57">
          <cell r="F57" t="str">
            <v>Hamburger paper [W]</v>
          </cell>
          <cell r="H57">
            <v>3000</v>
          </cell>
          <cell r="I57" t="str">
            <v>ea</v>
          </cell>
          <cell r="J57">
            <v>1</v>
          </cell>
          <cell r="K57">
            <v>153.05000000000001</v>
          </cell>
          <cell r="M57">
            <v>5.1016666666666668E-2</v>
          </cell>
        </row>
        <row r="58">
          <cell r="F58" t="str">
            <v>Hamburger paper [Y]</v>
          </cell>
          <cell r="H58">
            <v>3000</v>
          </cell>
          <cell r="I58" t="str">
            <v>ea</v>
          </cell>
          <cell r="J58">
            <v>1</v>
          </cell>
          <cell r="K58">
            <v>194.44</v>
          </cell>
          <cell r="M58">
            <v>6.4813333333333334E-2</v>
          </cell>
        </row>
        <row r="59">
          <cell r="F59" t="str">
            <v>Salad Bowl</v>
          </cell>
          <cell r="H59">
            <v>400</v>
          </cell>
          <cell r="I59" t="str">
            <v>ea</v>
          </cell>
          <cell r="J59">
            <v>1</v>
          </cell>
          <cell r="K59">
            <v>100.85</v>
          </cell>
          <cell r="M59">
            <v>0.25212499999999999</v>
          </cell>
        </row>
        <row r="60">
          <cell r="F60" t="str">
            <v>Salad Lid</v>
          </cell>
          <cell r="H60">
            <v>400</v>
          </cell>
          <cell r="I60" t="str">
            <v>ea</v>
          </cell>
          <cell r="J60">
            <v>1</v>
          </cell>
          <cell r="K60">
            <v>71.5</v>
          </cell>
          <cell r="M60">
            <v>0.17874999999999999</v>
          </cell>
        </row>
        <row r="61">
          <cell r="F61" t="str">
            <v>Paper Container [S]</v>
          </cell>
          <cell r="H61">
            <v>600</v>
          </cell>
          <cell r="I61" t="str">
            <v>ea</v>
          </cell>
          <cell r="J61">
            <v>1</v>
          </cell>
          <cell r="K61">
            <v>137</v>
          </cell>
          <cell r="M61">
            <v>0.22833333333333333</v>
          </cell>
        </row>
        <row r="62">
          <cell r="F62" t="str">
            <v>Paper Container [M]</v>
          </cell>
          <cell r="H62">
            <v>300</v>
          </cell>
          <cell r="I62" t="str">
            <v>ea</v>
          </cell>
          <cell r="J62">
            <v>1</v>
          </cell>
          <cell r="K62">
            <v>47.02</v>
          </cell>
          <cell r="M62">
            <v>0.15673333333333334</v>
          </cell>
        </row>
        <row r="63">
          <cell r="F63" t="str">
            <v>Cheese Balls 6p</v>
          </cell>
          <cell r="H63">
            <v>600</v>
          </cell>
          <cell r="I63" t="str">
            <v>ea</v>
          </cell>
          <cell r="J63">
            <v>1</v>
          </cell>
          <cell r="K63">
            <v>137</v>
          </cell>
          <cell r="M63">
            <v>0.22833333333333333</v>
          </cell>
        </row>
        <row r="64">
          <cell r="F64" t="str">
            <v>Cheese ball</v>
          </cell>
          <cell r="H64">
            <v>300</v>
          </cell>
          <cell r="I64" t="str">
            <v>ea</v>
          </cell>
          <cell r="J64">
            <v>1</v>
          </cell>
          <cell r="K64">
            <v>106.98</v>
          </cell>
          <cell r="M64">
            <v>0.35660000000000003</v>
          </cell>
        </row>
        <row r="65">
          <cell r="H65">
            <v>240</v>
          </cell>
          <cell r="K65">
            <v>129.9</v>
          </cell>
          <cell r="M65">
            <v>0.54125000000000001</v>
          </cell>
        </row>
        <row r="66">
          <cell r="F66" t="str">
            <v>French fries</v>
          </cell>
          <cell r="H66">
            <v>100</v>
          </cell>
          <cell r="I66" t="str">
            <v>g</v>
          </cell>
          <cell r="J66">
            <v>0.99</v>
          </cell>
          <cell r="K66">
            <v>0.39</v>
          </cell>
          <cell r="M66">
            <v>3.9000000000000003E-3</v>
          </cell>
        </row>
        <row r="67">
          <cell r="F67" t="str">
            <v>Choco ball</v>
          </cell>
          <cell r="H67">
            <v>240</v>
          </cell>
          <cell r="I67" t="str">
            <v>ea</v>
          </cell>
          <cell r="J67">
            <v>0.95</v>
          </cell>
          <cell r="K67">
            <v>95</v>
          </cell>
          <cell r="M67">
            <v>0.39583333333333331</v>
          </cell>
        </row>
        <row r="68">
          <cell r="F68" t="str">
            <v>Rice Cake</v>
          </cell>
          <cell r="H68">
            <v>12000</v>
          </cell>
          <cell r="I68" t="str">
            <v>g</v>
          </cell>
          <cell r="J68">
            <v>0.95</v>
          </cell>
          <cell r="K68">
            <v>47.22</v>
          </cell>
          <cell r="M68">
            <v>3.9350000000000001E-3</v>
          </cell>
        </row>
        <row r="69">
          <cell r="F69" t="str">
            <v>Fish Cake</v>
          </cell>
          <cell r="H69">
            <v>10800</v>
          </cell>
          <cell r="I69" t="str">
            <v>g</v>
          </cell>
          <cell r="J69">
            <v>0.95</v>
          </cell>
          <cell r="K69">
            <v>76.8</v>
          </cell>
          <cell r="M69">
            <v>7.1111111111111106E-3</v>
          </cell>
        </row>
        <row r="70">
          <cell r="F70" t="str">
            <v>Green onion</v>
          </cell>
          <cell r="H70">
            <v>400</v>
          </cell>
          <cell r="I70" t="str">
            <v>g</v>
          </cell>
          <cell r="J70">
            <v>0.95</v>
          </cell>
          <cell r="K70">
            <v>4.49</v>
          </cell>
          <cell r="M70">
            <v>1.1225000000000001E-2</v>
          </cell>
        </row>
        <row r="71">
          <cell r="F71" t="str">
            <v>Steamed Rice</v>
          </cell>
          <cell r="H71">
            <v>18000</v>
          </cell>
          <cell r="I71" t="str">
            <v>g</v>
          </cell>
          <cell r="J71">
            <v>0.99</v>
          </cell>
          <cell r="K71">
            <v>39.99</v>
          </cell>
          <cell r="M71">
            <v>2.2216666666666669E-3</v>
          </cell>
        </row>
        <row r="72">
          <cell r="F72" t="str">
            <v>Onion</v>
          </cell>
          <cell r="H72">
            <v>2270</v>
          </cell>
          <cell r="I72" t="str">
            <v>g</v>
          </cell>
          <cell r="J72">
            <v>0.99</v>
          </cell>
          <cell r="K72">
            <v>5.99</v>
          </cell>
          <cell r="M72">
            <v>2.6387665198237885E-3</v>
          </cell>
        </row>
        <row r="73">
          <cell r="F73" t="str">
            <v>Mayonnaise</v>
          </cell>
          <cell r="H73">
            <v>16000</v>
          </cell>
          <cell r="I73" t="str">
            <v>ml</v>
          </cell>
          <cell r="J73">
            <v>0.95</v>
          </cell>
          <cell r="K73">
            <v>97.98</v>
          </cell>
          <cell r="M73">
            <v>6.1237499999999999E-3</v>
          </cell>
        </row>
        <row r="74">
          <cell r="F74" t="str">
            <v>-</v>
          </cell>
          <cell r="H74">
            <v>1000</v>
          </cell>
          <cell r="I74" t="str">
            <v>g</v>
          </cell>
          <cell r="J74">
            <v>0.99</v>
          </cell>
          <cell r="K74">
            <v>5.03</v>
          </cell>
          <cell r="M74">
            <v>5.0300000000000006E-3</v>
          </cell>
        </row>
        <row r="75">
          <cell r="F75" t="str">
            <v>Egg</v>
          </cell>
          <cell r="H75">
            <v>30</v>
          </cell>
          <cell r="I75" t="str">
            <v>ea</v>
          </cell>
          <cell r="J75">
            <v>1</v>
          </cell>
          <cell r="K75">
            <v>10.49</v>
          </cell>
          <cell r="M75">
            <v>0.34966666666666668</v>
          </cell>
        </row>
        <row r="76">
          <cell r="F76" t="str">
            <v>-</v>
          </cell>
          <cell r="H76">
            <v>1000</v>
          </cell>
          <cell r="I76" t="str">
            <v>g</v>
          </cell>
          <cell r="J76">
            <v>0.99</v>
          </cell>
          <cell r="K76">
            <v>6.99</v>
          </cell>
          <cell r="M76">
            <v>6.9900000000000006E-3</v>
          </cell>
        </row>
        <row r="77">
          <cell r="F77" t="str">
            <v>-</v>
          </cell>
          <cell r="H77">
            <v>10</v>
          </cell>
          <cell r="I77" t="str">
            <v>g</v>
          </cell>
          <cell r="J77">
            <v>0.99</v>
          </cell>
          <cell r="K77">
            <v>3.99</v>
          </cell>
          <cell r="M77">
            <v>0.39900000000000002</v>
          </cell>
        </row>
        <row r="78">
          <cell r="F78" t="str">
            <v>-</v>
          </cell>
          <cell r="H78">
            <v>2000</v>
          </cell>
          <cell r="I78" t="str">
            <v>g</v>
          </cell>
          <cell r="J78">
            <v>0.95</v>
          </cell>
          <cell r="K78">
            <v>21</v>
          </cell>
          <cell r="M78">
            <v>1.0500000000000001E-2</v>
          </cell>
        </row>
        <row r="79">
          <cell r="F79" t="str">
            <v>Sugar</v>
          </cell>
          <cell r="H79">
            <v>2000</v>
          </cell>
          <cell r="I79" t="str">
            <v>g</v>
          </cell>
          <cell r="J79">
            <v>0.95</v>
          </cell>
          <cell r="K79">
            <v>2.97</v>
          </cell>
          <cell r="M79">
            <v>1.485E-3</v>
          </cell>
        </row>
        <row r="80">
          <cell r="F80" t="str">
            <v>-</v>
          </cell>
          <cell r="H80">
            <v>1800</v>
          </cell>
          <cell r="I80" t="str">
            <v>g</v>
          </cell>
          <cell r="J80">
            <v>0.99</v>
          </cell>
          <cell r="K80">
            <v>7.6</v>
          </cell>
          <cell r="M80">
            <v>4.2222222222222218E-3</v>
          </cell>
        </row>
        <row r="81">
          <cell r="F81" t="str">
            <v>-</v>
          </cell>
          <cell r="H81">
            <v>1000</v>
          </cell>
          <cell r="I81" t="str">
            <v>g</v>
          </cell>
          <cell r="J81">
            <v>0.99</v>
          </cell>
          <cell r="K81">
            <v>6</v>
          </cell>
          <cell r="M81">
            <v>6.0000000000000001E-3</v>
          </cell>
        </row>
        <row r="82">
          <cell r="F82" t="str">
            <v>Radish</v>
          </cell>
          <cell r="H82">
            <v>1000</v>
          </cell>
          <cell r="I82" t="str">
            <v>g</v>
          </cell>
          <cell r="J82">
            <v>0.99</v>
          </cell>
          <cell r="K82">
            <v>3</v>
          </cell>
          <cell r="M82">
            <v>3.0000000000000001E-3</v>
          </cell>
        </row>
        <row r="83">
          <cell r="F83" t="str">
            <v>Minced Garlic</v>
          </cell>
          <cell r="H83">
            <v>12000</v>
          </cell>
          <cell r="I83" t="str">
            <v>g</v>
          </cell>
          <cell r="J83">
            <v>0.99</v>
          </cell>
          <cell r="K83">
            <v>140</v>
          </cell>
          <cell r="M83">
            <v>1.1666666666666667E-2</v>
          </cell>
        </row>
        <row r="84">
          <cell r="F84" t="str">
            <v>Serrano</v>
          </cell>
          <cell r="H84">
            <v>255</v>
          </cell>
          <cell r="I84" t="str">
            <v>g</v>
          </cell>
          <cell r="J84">
            <v>0.99</v>
          </cell>
          <cell r="K84">
            <v>4.97</v>
          </cell>
          <cell r="M84">
            <v>1.949019607843137E-2</v>
          </cell>
        </row>
        <row r="85">
          <cell r="F85" t="str">
            <v>-</v>
          </cell>
          <cell r="H85">
            <v>18000</v>
          </cell>
          <cell r="I85" t="str">
            <v>g</v>
          </cell>
          <cell r="J85">
            <v>0.99</v>
          </cell>
          <cell r="K85">
            <v>39.14</v>
          </cell>
          <cell r="M85">
            <v>2.1744444444444446E-3</v>
          </cell>
        </row>
        <row r="86">
          <cell r="F86" t="str">
            <v>Arugula</v>
          </cell>
          <cell r="H86">
            <v>142</v>
          </cell>
          <cell r="I86" t="str">
            <v>g</v>
          </cell>
          <cell r="J86">
            <v>0.99</v>
          </cell>
          <cell r="K86">
            <v>4.99</v>
          </cell>
          <cell r="M86">
            <v>3.514084507042254E-2</v>
          </cell>
        </row>
        <row r="87">
          <cell r="F87" t="str">
            <v>Pulled Chicken</v>
          </cell>
          <cell r="H87">
            <v>2150</v>
          </cell>
          <cell r="I87" t="str">
            <v>g</v>
          </cell>
          <cell r="J87">
            <v>0.99</v>
          </cell>
          <cell r="K87">
            <v>32.770000000000003</v>
          </cell>
          <cell r="M87">
            <v>1.524186046511628E-2</v>
          </cell>
        </row>
        <row r="88">
          <cell r="F88" t="str">
            <v>Pulled Chicken Sauce</v>
          </cell>
          <cell r="H88">
            <v>2100</v>
          </cell>
          <cell r="I88" t="str">
            <v>g</v>
          </cell>
          <cell r="J88">
            <v>0.99</v>
          </cell>
          <cell r="K88">
            <v>5.0999999999999996</v>
          </cell>
          <cell r="M88">
            <v>2.4285714285714284E-3</v>
          </cell>
        </row>
        <row r="89">
          <cell r="F89" t="str">
            <v>Nacho Chips</v>
          </cell>
          <cell r="H89">
            <v>455</v>
          </cell>
          <cell r="I89" t="str">
            <v>g</v>
          </cell>
          <cell r="J89">
            <v>0.99</v>
          </cell>
          <cell r="K89">
            <v>4.78</v>
          </cell>
          <cell r="M89">
            <v>1.0505494505494506E-2</v>
          </cell>
        </row>
        <row r="90">
          <cell r="F90" t="str">
            <v>Salsa Sauce</v>
          </cell>
          <cell r="H90">
            <v>1560</v>
          </cell>
          <cell r="I90" t="str">
            <v>g</v>
          </cell>
          <cell r="J90">
            <v>0.99</v>
          </cell>
          <cell r="K90">
            <v>13.93</v>
          </cell>
          <cell r="M90">
            <v>8.9294871794871802E-3</v>
          </cell>
        </row>
        <row r="91">
          <cell r="F91" t="str">
            <v>Cilantro</v>
          </cell>
          <cell r="H91">
            <v>28</v>
          </cell>
          <cell r="I91" t="str">
            <v>g</v>
          </cell>
          <cell r="J91">
            <v>0.99</v>
          </cell>
          <cell r="K91">
            <v>1.9</v>
          </cell>
          <cell r="M91">
            <v>6.7857142857142852E-2</v>
          </cell>
        </row>
        <row r="92">
          <cell r="F92" t="str">
            <v>Hotdog Bun</v>
          </cell>
          <cell r="H92">
            <v>6</v>
          </cell>
          <cell r="I92" t="str">
            <v>ea</v>
          </cell>
          <cell r="J92">
            <v>0.99</v>
          </cell>
          <cell r="K92">
            <v>5.2</v>
          </cell>
          <cell r="M92">
            <v>0.8666666666666667</v>
          </cell>
        </row>
        <row r="93">
          <cell r="F93" t="str">
            <v>Skewer Stick</v>
          </cell>
          <cell r="H93">
            <v>100</v>
          </cell>
          <cell r="I93" t="str">
            <v>ea</v>
          </cell>
          <cell r="J93">
            <v>0.99</v>
          </cell>
          <cell r="K93">
            <v>12</v>
          </cell>
          <cell r="M93">
            <v>0.12</v>
          </cell>
        </row>
        <row r="94">
          <cell r="F94" t="str">
            <v>Corn Salad</v>
          </cell>
          <cell r="H94">
            <v>100</v>
          </cell>
          <cell r="I94" t="str">
            <v>g</v>
          </cell>
          <cell r="J94">
            <v>0.99</v>
          </cell>
          <cell r="K94">
            <v>0.4</v>
          </cell>
          <cell r="M94">
            <v>4.0000000000000001E-3</v>
          </cell>
        </row>
        <row r="95">
          <cell r="F95" t="str">
            <v>Buldak Sauce</v>
          </cell>
          <cell r="H95">
            <v>1000</v>
          </cell>
          <cell r="I95" t="str">
            <v>g</v>
          </cell>
          <cell r="J95">
            <v>0.99</v>
          </cell>
          <cell r="K95">
            <v>10</v>
          </cell>
          <cell r="M95">
            <v>0.01</v>
          </cell>
        </row>
        <row r="96">
          <cell r="F96" t="str">
            <v>Ground Black Pepper</v>
          </cell>
          <cell r="H96">
            <v>540</v>
          </cell>
          <cell r="I96" t="str">
            <v>g</v>
          </cell>
          <cell r="J96">
            <v>0.99</v>
          </cell>
          <cell r="K96">
            <v>18.559999999999999</v>
          </cell>
          <cell r="M96">
            <v>3.4370370370370371E-2</v>
          </cell>
        </row>
        <row r="97">
          <cell r="F97" t="str">
            <v>Sesame Oil</v>
          </cell>
          <cell r="H97">
            <v>500</v>
          </cell>
          <cell r="I97" t="str">
            <v>ml</v>
          </cell>
          <cell r="J97">
            <v>0.99</v>
          </cell>
          <cell r="K97">
            <v>19.989999999999998</v>
          </cell>
          <cell r="M97">
            <v>3.9979999999999995E-2</v>
          </cell>
        </row>
        <row r="98">
          <cell r="F98" t="str">
            <v>Anchovy Fish Sauce</v>
          </cell>
          <cell r="H98">
            <v>3000</v>
          </cell>
          <cell r="I98" t="str">
            <v>g</v>
          </cell>
          <cell r="J98">
            <v>0.99</v>
          </cell>
          <cell r="K98">
            <v>37.99</v>
          </cell>
          <cell r="M98">
            <v>1.2663333333333334E-2</v>
          </cell>
        </row>
        <row r="99">
          <cell r="F99" t="str">
            <v>Dashida</v>
          </cell>
          <cell r="H99">
            <v>1000</v>
          </cell>
          <cell r="I99" t="str">
            <v>g</v>
          </cell>
          <cell r="J99">
            <v>0.99</v>
          </cell>
          <cell r="K99">
            <v>29.99</v>
          </cell>
          <cell r="M99">
            <v>2.9989999999999999E-2</v>
          </cell>
        </row>
        <row r="100">
          <cell r="F100" t="str">
            <v>BBQ Sauce</v>
          </cell>
          <cell r="H100">
            <v>3780</v>
          </cell>
          <cell r="I100" t="str">
            <v>ml</v>
          </cell>
          <cell r="J100">
            <v>0.99</v>
          </cell>
          <cell r="K100">
            <v>19.09</v>
          </cell>
          <cell r="M100">
            <v>5.0502645502645506E-3</v>
          </cell>
        </row>
        <row r="101">
          <cell r="F101" t="str">
            <v>Paprika Powder</v>
          </cell>
          <cell r="H101">
            <v>130</v>
          </cell>
          <cell r="I101" t="str">
            <v>g</v>
          </cell>
          <cell r="J101">
            <v>0.99</v>
          </cell>
          <cell r="K101">
            <v>1.97</v>
          </cell>
          <cell r="M101">
            <v>1.5153846153846153E-2</v>
          </cell>
        </row>
        <row r="102">
          <cell r="F102" t="str">
            <v>Onion Powder</v>
          </cell>
          <cell r="H102">
            <v>130</v>
          </cell>
          <cell r="I102" t="str">
            <v>g</v>
          </cell>
          <cell r="J102">
            <v>0.99</v>
          </cell>
          <cell r="K102">
            <v>1.97</v>
          </cell>
          <cell r="M102">
            <v>1.5153846153846153E-2</v>
          </cell>
        </row>
        <row r="103">
          <cell r="F103" t="str">
            <v>Dried Oregano</v>
          </cell>
          <cell r="H103">
            <v>80</v>
          </cell>
          <cell r="I103" t="str">
            <v>g</v>
          </cell>
          <cell r="J103">
            <v>0.99</v>
          </cell>
          <cell r="K103">
            <v>1.97</v>
          </cell>
          <cell r="M103">
            <v>2.4625000000000001E-2</v>
          </cell>
        </row>
        <row r="104">
          <cell r="F104" t="str">
            <v>Dried Thyme Leave</v>
          </cell>
          <cell r="H104">
            <v>120</v>
          </cell>
          <cell r="I104" t="str">
            <v>g</v>
          </cell>
          <cell r="J104">
            <v>0.99</v>
          </cell>
          <cell r="K104">
            <v>1.97</v>
          </cell>
          <cell r="M104">
            <v>1.6416666666666666E-2</v>
          </cell>
        </row>
        <row r="105">
          <cell r="F105" t="str">
            <v>Kosher Salt</v>
          </cell>
          <cell r="H105">
            <v>454</v>
          </cell>
          <cell r="I105" t="str">
            <v>g</v>
          </cell>
          <cell r="J105">
            <v>0.99</v>
          </cell>
          <cell r="K105">
            <v>5.67</v>
          </cell>
          <cell r="M105">
            <v>1.248898678414097E-2</v>
          </cell>
        </row>
        <row r="106">
          <cell r="F106" t="str">
            <v>Cayenne Pepper</v>
          </cell>
          <cell r="H106">
            <v>125</v>
          </cell>
          <cell r="I106" t="str">
            <v>g</v>
          </cell>
          <cell r="J106">
            <v>0.99</v>
          </cell>
          <cell r="K106">
            <v>1.97</v>
          </cell>
          <cell r="M106">
            <v>1.576E-2</v>
          </cell>
        </row>
        <row r="107">
          <cell r="F107" t="str">
            <v>Miwon</v>
          </cell>
          <cell r="H107">
            <v>1000</v>
          </cell>
          <cell r="I107" t="str">
            <v>g</v>
          </cell>
          <cell r="J107">
            <v>0.99</v>
          </cell>
          <cell r="K107">
            <v>28.99</v>
          </cell>
          <cell r="M107">
            <v>2.8989999999999998E-2</v>
          </cell>
        </row>
        <row r="108">
          <cell r="F108" t="str">
            <v>Whipping Cream</v>
          </cell>
          <cell r="H108">
            <v>1000</v>
          </cell>
          <cell r="I108" t="str">
            <v>ml</v>
          </cell>
          <cell r="J108">
            <v>0.99</v>
          </cell>
          <cell r="K108">
            <v>5.09</v>
          </cell>
          <cell r="M108">
            <v>5.0899999999999999E-3</v>
          </cell>
        </row>
        <row r="109">
          <cell r="F109" t="str">
            <v>Yuzu Marmalade</v>
          </cell>
          <cell r="H109">
            <v>500</v>
          </cell>
          <cell r="I109" t="str">
            <v>g</v>
          </cell>
          <cell r="J109">
            <v>0.99</v>
          </cell>
          <cell r="K109">
            <v>15.94</v>
          </cell>
          <cell r="M109">
            <v>3.1879999999999999E-2</v>
          </cell>
        </row>
        <row r="110">
          <cell r="F110" t="str">
            <v>Glass Noodle</v>
          </cell>
          <cell r="H110">
            <v>1000</v>
          </cell>
          <cell r="I110" t="str">
            <v>g</v>
          </cell>
          <cell r="J110">
            <v>0.99</v>
          </cell>
          <cell r="K110">
            <v>17.98</v>
          </cell>
          <cell r="M110">
            <v>1.7979999999999999E-2</v>
          </cell>
        </row>
        <row r="111">
          <cell r="F111" t="str">
            <v>Caramel Sauce</v>
          </cell>
          <cell r="H111">
            <v>190</v>
          </cell>
          <cell r="I111" t="str">
            <v>ml</v>
          </cell>
          <cell r="J111">
            <v>0.99</v>
          </cell>
          <cell r="K111">
            <v>4.99</v>
          </cell>
          <cell r="M111">
            <v>2.6263157894736842E-2</v>
          </cell>
        </row>
        <row r="112">
          <cell r="F112" t="str">
            <v>Assorted Fish Ball</v>
          </cell>
          <cell r="H112">
            <v>500</v>
          </cell>
          <cell r="I112" t="str">
            <v>g</v>
          </cell>
          <cell r="J112">
            <v>0.99</v>
          </cell>
          <cell r="K112">
            <v>6.99</v>
          </cell>
          <cell r="M112">
            <v>1.3980000000000001E-2</v>
          </cell>
        </row>
        <row r="113">
          <cell r="F113" t="str">
            <v>Sliced Paprika</v>
          </cell>
          <cell r="H113">
            <v>454</v>
          </cell>
          <cell r="I113" t="str">
            <v>g</v>
          </cell>
          <cell r="J113">
            <v>0.99</v>
          </cell>
          <cell r="K113">
            <v>3.99</v>
          </cell>
          <cell r="M113">
            <v>8.7885462555066084E-3</v>
          </cell>
        </row>
        <row r="114">
          <cell r="F114" t="str">
            <v>Tortilla</v>
          </cell>
          <cell r="H114">
            <v>10</v>
          </cell>
          <cell r="I114" t="str">
            <v>ea</v>
          </cell>
          <cell r="J114">
            <v>0.99</v>
          </cell>
          <cell r="K114">
            <v>3.67</v>
          </cell>
          <cell r="M114">
            <v>0.36699999999999999</v>
          </cell>
        </row>
        <row r="115">
          <cell r="F115" t="str">
            <v>Udon noodle</v>
          </cell>
          <cell r="H115">
            <v>5</v>
          </cell>
          <cell r="I115" t="str">
            <v>ea</v>
          </cell>
          <cell r="J115">
            <v>0.99</v>
          </cell>
          <cell r="K115">
            <v>7.99</v>
          </cell>
          <cell r="M115">
            <v>1.5980000000000001</v>
          </cell>
        </row>
        <row r="116">
          <cell r="F116" t="str">
            <v>Kimchi</v>
          </cell>
          <cell r="H116">
            <v>10000</v>
          </cell>
          <cell r="I116" t="str">
            <v>g</v>
          </cell>
          <cell r="J116">
            <v>0.99</v>
          </cell>
          <cell r="K116">
            <v>34</v>
          </cell>
          <cell r="M116">
            <v>3.3999999999999998E-3</v>
          </cell>
        </row>
        <row r="117">
          <cell r="F117" t="str">
            <v>MSG</v>
          </cell>
          <cell r="H117">
            <v>1000</v>
          </cell>
          <cell r="I117" t="str">
            <v>g</v>
          </cell>
          <cell r="J117">
            <v>0.99</v>
          </cell>
          <cell r="K117">
            <v>29.99</v>
          </cell>
          <cell r="M117">
            <v>2.9989999999999999E-2</v>
          </cell>
        </row>
        <row r="118">
          <cell r="F118" t="str">
            <v>Chili powder</v>
          </cell>
          <cell r="H118">
            <v>454</v>
          </cell>
          <cell r="I118" t="str">
            <v>g</v>
          </cell>
          <cell r="J118">
            <v>0.99</v>
          </cell>
          <cell r="K118">
            <v>9.99</v>
          </cell>
          <cell r="M118">
            <v>2.2004405286343613E-2</v>
          </cell>
        </row>
        <row r="119">
          <cell r="F119" t="str">
            <v>Bacon</v>
          </cell>
          <cell r="H119">
            <v>2000</v>
          </cell>
          <cell r="I119" t="str">
            <v>g</v>
          </cell>
          <cell r="J119">
            <v>0.99</v>
          </cell>
          <cell r="K119">
            <v>22.29</v>
          </cell>
          <cell r="M119">
            <v>1.1145E-2</v>
          </cell>
        </row>
        <row r="120">
          <cell r="F120" t="str">
            <v>Tomato</v>
          </cell>
          <cell r="H120">
            <v>100</v>
          </cell>
          <cell r="I120" t="str">
            <v>g</v>
          </cell>
          <cell r="J120">
            <v>0.99</v>
          </cell>
          <cell r="K120">
            <v>0.59</v>
          </cell>
          <cell r="M120">
            <v>5.8999999999999999E-3</v>
          </cell>
        </row>
        <row r="121">
          <cell r="F121" t="str">
            <v>Sausage</v>
          </cell>
          <cell r="H121">
            <v>2000</v>
          </cell>
          <cell r="I121" t="str">
            <v>g</v>
          </cell>
          <cell r="J121">
            <v>0.99</v>
          </cell>
          <cell r="K121">
            <v>21.99</v>
          </cell>
          <cell r="M121">
            <v>1.0995E-2</v>
          </cell>
        </row>
        <row r="122">
          <cell r="F122" t="str">
            <v>Rosé Sauce</v>
          </cell>
          <cell r="H122">
            <v>1000</v>
          </cell>
          <cell r="I122" t="str">
            <v>g</v>
          </cell>
          <cell r="J122">
            <v>0.99</v>
          </cell>
          <cell r="K122">
            <v>7.49</v>
          </cell>
          <cell r="M122">
            <v>7.4900000000000001E-3</v>
          </cell>
        </row>
        <row r="123">
          <cell r="F123" t="str">
            <v>Soy Base Sauce</v>
          </cell>
          <cell r="H123">
            <v>1000</v>
          </cell>
          <cell r="I123" t="str">
            <v>g</v>
          </cell>
          <cell r="J123">
            <v>0.99</v>
          </cell>
          <cell r="K123">
            <v>2.56</v>
          </cell>
          <cell r="M123">
            <v>2.5600000000000002E-3</v>
          </cell>
        </row>
        <row r="124">
          <cell r="F124" t="str">
            <v>Spicy Korean Grilled chicken</v>
          </cell>
          <cell r="H124">
            <v>1000</v>
          </cell>
          <cell r="I124" t="str">
            <v>g</v>
          </cell>
          <cell r="J124">
            <v>0.99</v>
          </cell>
          <cell r="K124">
            <v>8.2899999999999991</v>
          </cell>
          <cell r="M124">
            <v>8.2899999999999988E-3</v>
          </cell>
        </row>
        <row r="125">
          <cell r="F125" t="str">
            <v>Jamaican Grilled Chicken</v>
          </cell>
          <cell r="H125">
            <v>1000</v>
          </cell>
          <cell r="I125" t="str">
            <v>g</v>
          </cell>
          <cell r="J125">
            <v>0.99</v>
          </cell>
          <cell r="K125">
            <v>8.2899999999999991</v>
          </cell>
          <cell r="M125">
            <v>8.2899999999999988E-3</v>
          </cell>
        </row>
        <row r="126">
          <cell r="F126" t="str">
            <v>Grilled Soy Garlic Chicken</v>
          </cell>
          <cell r="H126">
            <v>1000</v>
          </cell>
          <cell r="I126" t="str">
            <v>g</v>
          </cell>
          <cell r="J126">
            <v>0.99</v>
          </cell>
          <cell r="K126">
            <v>8.2899999999999991</v>
          </cell>
          <cell r="M126">
            <v>8.2899999999999988E-3</v>
          </cell>
        </row>
        <row r="127">
          <cell r="F127" t="str">
            <v>Korean Soy Grilled Chicken</v>
          </cell>
          <cell r="H127">
            <v>1000</v>
          </cell>
          <cell r="I127" t="str">
            <v>g</v>
          </cell>
          <cell r="J127">
            <v>0.99</v>
          </cell>
          <cell r="K127">
            <v>8.2899999999999991</v>
          </cell>
          <cell r="M127">
            <v>8.2899999999999988E-3</v>
          </cell>
        </row>
        <row r="128">
          <cell r="F128" t="str">
            <v>Spicy korean grill sauce</v>
          </cell>
          <cell r="H128">
            <v>1000</v>
          </cell>
          <cell r="I128" t="str">
            <v>g</v>
          </cell>
          <cell r="J128">
            <v>0.99</v>
          </cell>
          <cell r="K128">
            <v>8</v>
          </cell>
          <cell r="M128">
            <v>8.0000000000000002E-3</v>
          </cell>
        </row>
        <row r="129">
          <cell r="F129" t="str">
            <v>Jamaican grill sauce</v>
          </cell>
          <cell r="H129">
            <v>1000</v>
          </cell>
          <cell r="I129" t="str">
            <v>g</v>
          </cell>
          <cell r="J129">
            <v>0.99</v>
          </cell>
          <cell r="K129">
            <v>8</v>
          </cell>
          <cell r="M129">
            <v>8.0000000000000002E-3</v>
          </cell>
        </row>
        <row r="130">
          <cell r="F130" t="str">
            <v>korean soy grill sauce</v>
          </cell>
          <cell r="H130">
            <v>1000</v>
          </cell>
          <cell r="I130" t="str">
            <v>g</v>
          </cell>
          <cell r="J130">
            <v>0.99</v>
          </cell>
          <cell r="K130">
            <v>8</v>
          </cell>
          <cell r="M130">
            <v>8.0000000000000002E-3</v>
          </cell>
        </row>
        <row r="131">
          <cell r="F131" t="str">
            <v>Oriental Sauce</v>
          </cell>
          <cell r="H131">
            <v>1000</v>
          </cell>
          <cell r="I131" t="str">
            <v>g</v>
          </cell>
          <cell r="J131">
            <v>0.99</v>
          </cell>
          <cell r="K131">
            <v>3.48</v>
          </cell>
          <cell r="M131">
            <v>3.48E-3</v>
          </cell>
        </row>
        <row r="132">
          <cell r="F132" t="str">
            <v>Coleslaw</v>
          </cell>
          <cell r="H132">
            <v>100</v>
          </cell>
          <cell r="I132" t="str">
            <v>g</v>
          </cell>
          <cell r="J132">
            <v>0.99</v>
          </cell>
          <cell r="K132">
            <v>0.4</v>
          </cell>
          <cell r="M132">
            <v>4.0000000000000001E-3</v>
          </cell>
        </row>
        <row r="133">
          <cell r="F133" t="str">
            <v>Black Olive</v>
          </cell>
          <cell r="H133">
            <v>2840</v>
          </cell>
          <cell r="I133" t="str">
            <v>g</v>
          </cell>
          <cell r="J133">
            <v>0.99</v>
          </cell>
          <cell r="K133">
            <v>6.81</v>
          </cell>
          <cell r="M133">
            <v>2.3978873239436618E-3</v>
          </cell>
        </row>
        <row r="134">
          <cell r="F134" t="str">
            <v>Sweet corn</v>
          </cell>
          <cell r="H134">
            <v>2840</v>
          </cell>
          <cell r="I134" t="str">
            <v>g</v>
          </cell>
          <cell r="J134">
            <v>0.99</v>
          </cell>
          <cell r="K134">
            <v>7.62</v>
          </cell>
          <cell r="M134">
            <v>2.6830985915492957E-3</v>
          </cell>
        </row>
        <row r="135">
          <cell r="F135" t="str">
            <v>Feta Cheese</v>
          </cell>
          <cell r="H135">
            <v>1000</v>
          </cell>
          <cell r="I135" t="str">
            <v>g</v>
          </cell>
          <cell r="J135">
            <v>0.99</v>
          </cell>
          <cell r="K135">
            <v>14.12</v>
          </cell>
          <cell r="M135">
            <v>1.4119999999999999E-2</v>
          </cell>
        </row>
        <row r="136">
          <cell r="F136" t="str">
            <v>-</v>
          </cell>
          <cell r="H136">
            <v>2270</v>
          </cell>
          <cell r="I136" t="str">
            <v>g</v>
          </cell>
          <cell r="J136">
            <v>0.99</v>
          </cell>
          <cell r="K136">
            <v>11.8</v>
          </cell>
          <cell r="M136">
            <v>5.1982378854625554E-3</v>
          </cell>
        </row>
        <row r="137">
          <cell r="F137" t="str">
            <v>Croutons</v>
          </cell>
          <cell r="H137">
            <v>1020</v>
          </cell>
          <cell r="I137" t="str">
            <v>g</v>
          </cell>
          <cell r="J137">
            <v>0.99</v>
          </cell>
          <cell r="K137">
            <v>9.08</v>
          </cell>
          <cell r="M137">
            <v>8.9019607843137255E-3</v>
          </cell>
        </row>
        <row r="138">
          <cell r="F138" t="str">
            <v>Mozzarella cheese</v>
          </cell>
          <cell r="H138">
            <v>2500</v>
          </cell>
          <cell r="I138" t="str">
            <v>g</v>
          </cell>
          <cell r="J138">
            <v>0.99</v>
          </cell>
          <cell r="K138">
            <v>33.57</v>
          </cell>
          <cell r="M138">
            <v>1.3428000000000001E-2</v>
          </cell>
        </row>
        <row r="139">
          <cell r="F139" t="str">
            <v>Honey Mustard Dressing</v>
          </cell>
          <cell r="H139">
            <v>4000</v>
          </cell>
          <cell r="I139" t="str">
            <v>ml</v>
          </cell>
          <cell r="J139">
            <v>0.99</v>
          </cell>
          <cell r="K139">
            <v>15.88</v>
          </cell>
          <cell r="M139">
            <v>3.9700000000000004E-3</v>
          </cell>
        </row>
        <row r="140">
          <cell r="F140" t="str">
            <v>Italian Dressing</v>
          </cell>
          <cell r="H140">
            <v>4000</v>
          </cell>
          <cell r="I140" t="str">
            <v>ml</v>
          </cell>
          <cell r="J140">
            <v>0.99</v>
          </cell>
          <cell r="K140">
            <v>17.649999999999999</v>
          </cell>
          <cell r="M140">
            <v>4.4124999999999998E-3</v>
          </cell>
        </row>
        <row r="141">
          <cell r="F141" t="str">
            <v>Caesar Dressing</v>
          </cell>
          <cell r="H141">
            <v>3780</v>
          </cell>
          <cell r="I141" t="str">
            <v>ml</v>
          </cell>
          <cell r="J141">
            <v>0.99</v>
          </cell>
          <cell r="K141">
            <v>22.5</v>
          </cell>
          <cell r="M141">
            <v>5.9523809523809521E-3</v>
          </cell>
        </row>
        <row r="142">
          <cell r="F142" t="str">
            <v>Parmesan Cheese</v>
          </cell>
          <cell r="H142">
            <v>680</v>
          </cell>
          <cell r="I142" t="str">
            <v>g</v>
          </cell>
          <cell r="J142">
            <v>0.99</v>
          </cell>
          <cell r="K142">
            <v>19.489999999999998</v>
          </cell>
          <cell r="M142">
            <v>2.8661764705882352E-2</v>
          </cell>
        </row>
        <row r="143">
          <cell r="F143" t="str">
            <v>Ketchup</v>
          </cell>
          <cell r="H143">
            <v>1500</v>
          </cell>
          <cell r="I143" t="str">
            <v>ml</v>
          </cell>
          <cell r="J143">
            <v>0.99</v>
          </cell>
          <cell r="K143">
            <v>5.97</v>
          </cell>
          <cell r="M143">
            <v>3.98E-3</v>
          </cell>
        </row>
        <row r="144">
          <cell r="F144" t="str">
            <v>Sugar</v>
          </cell>
          <cell r="H144">
            <v>20000</v>
          </cell>
          <cell r="I144" t="str">
            <v>g</v>
          </cell>
          <cell r="J144">
            <v>0.99</v>
          </cell>
          <cell r="K144">
            <v>5.29</v>
          </cell>
          <cell r="M144">
            <v>2.6449999999999998E-4</v>
          </cell>
        </row>
        <row r="145">
          <cell r="F145" t="str">
            <v>Salt</v>
          </cell>
          <cell r="H145">
            <v>750</v>
          </cell>
          <cell r="I145" t="str">
            <v>g</v>
          </cell>
          <cell r="J145">
            <v>0.99</v>
          </cell>
          <cell r="K145">
            <v>4.2300000000000004</v>
          </cell>
          <cell r="M145">
            <v>5.6400000000000009E-3</v>
          </cell>
        </row>
        <row r="146">
          <cell r="F146" t="str">
            <v>Vinegar</v>
          </cell>
          <cell r="H146">
            <v>4000</v>
          </cell>
          <cell r="I146" t="str">
            <v>ml</v>
          </cell>
          <cell r="J146">
            <v>0.99</v>
          </cell>
          <cell r="K146">
            <v>3.27</v>
          </cell>
          <cell r="M146">
            <v>8.1749999999999998E-4</v>
          </cell>
        </row>
        <row r="147">
          <cell r="F147" t="str">
            <v>Lemon Juice</v>
          </cell>
          <cell r="H147">
            <v>425</v>
          </cell>
          <cell r="I147" t="str">
            <v>g</v>
          </cell>
          <cell r="J147">
            <v>0.99</v>
          </cell>
          <cell r="K147">
            <v>2.17</v>
          </cell>
          <cell r="M147">
            <v>5.1058823529411762E-3</v>
          </cell>
        </row>
        <row r="148">
          <cell r="F148" t="str">
            <v>Parsely flake</v>
          </cell>
          <cell r="H148">
            <v>265</v>
          </cell>
          <cell r="I148" t="str">
            <v>g</v>
          </cell>
          <cell r="J148">
            <v>0.99</v>
          </cell>
          <cell r="K148">
            <v>15.09</v>
          </cell>
          <cell r="M148">
            <v>5.6943396226415095E-2</v>
          </cell>
        </row>
        <row r="149">
          <cell r="F149" t="str">
            <v>Cabbage</v>
          </cell>
          <cell r="H149">
            <v>454</v>
          </cell>
          <cell r="I149" t="str">
            <v>g</v>
          </cell>
          <cell r="J149">
            <v>0.95</v>
          </cell>
          <cell r="K149">
            <v>1.49</v>
          </cell>
          <cell r="M149">
            <v>3.2819383259911892E-3</v>
          </cell>
        </row>
        <row r="150">
          <cell r="F150" t="str">
            <v>-</v>
          </cell>
          <cell r="H150">
            <v>500</v>
          </cell>
          <cell r="I150" t="str">
            <v>g</v>
          </cell>
          <cell r="J150">
            <v>0.99</v>
          </cell>
          <cell r="K150">
            <v>13.06</v>
          </cell>
          <cell r="M150">
            <v>2.6120000000000001E-2</v>
          </cell>
        </row>
        <row r="151">
          <cell r="F151" t="str">
            <v>Romaine</v>
          </cell>
          <cell r="H151">
            <v>500</v>
          </cell>
          <cell r="I151" t="str">
            <v>g</v>
          </cell>
          <cell r="J151">
            <v>0.99</v>
          </cell>
          <cell r="K151">
            <v>4.57</v>
          </cell>
          <cell r="M151">
            <v>9.1400000000000006E-3</v>
          </cell>
        </row>
        <row r="152">
          <cell r="F152" t="str">
            <v>Cheese Curd</v>
          </cell>
          <cell r="H152">
            <v>80</v>
          </cell>
          <cell r="I152" t="str">
            <v>g</v>
          </cell>
          <cell r="J152">
            <v>0.99</v>
          </cell>
          <cell r="K152">
            <v>0.89</v>
          </cell>
          <cell r="M152">
            <v>1.1124999999999999E-2</v>
          </cell>
        </row>
        <row r="153">
          <cell r="F153" t="str">
            <v>Black pepper</v>
          </cell>
          <cell r="H153">
            <v>2100</v>
          </cell>
          <cell r="I153" t="str">
            <v>g</v>
          </cell>
          <cell r="J153">
            <v>0.99</v>
          </cell>
          <cell r="K153">
            <v>15.09</v>
          </cell>
          <cell r="M153">
            <v>7.1857142857142857E-3</v>
          </cell>
        </row>
        <row r="154">
          <cell r="F154" t="str">
            <v>Grape tomato</v>
          </cell>
          <cell r="H154">
            <v>907</v>
          </cell>
          <cell r="I154" t="str">
            <v>g</v>
          </cell>
          <cell r="J154">
            <v>0.99</v>
          </cell>
          <cell r="K154">
            <v>6.99</v>
          </cell>
          <cell r="M154">
            <v>7.7067254685777289E-3</v>
          </cell>
        </row>
        <row r="155">
          <cell r="F155" t="str">
            <v>Sesame</v>
          </cell>
          <cell r="H155">
            <v>454</v>
          </cell>
          <cell r="I155" t="str">
            <v>g</v>
          </cell>
          <cell r="J155">
            <v>0.99</v>
          </cell>
          <cell r="K155">
            <v>12.99</v>
          </cell>
          <cell r="M155">
            <v>2.8612334801762115E-2</v>
          </cell>
        </row>
        <row r="156">
          <cell r="F156" t="str">
            <v>Sesame Oil</v>
          </cell>
          <cell r="H156">
            <v>500</v>
          </cell>
          <cell r="I156" t="str">
            <v>g</v>
          </cell>
          <cell r="J156">
            <v>0.99</v>
          </cell>
          <cell r="K156">
            <v>19.989999999999998</v>
          </cell>
          <cell r="M156">
            <v>3.9979999999999995E-2</v>
          </cell>
        </row>
        <row r="157">
          <cell r="F157" t="str">
            <v>Carrot</v>
          </cell>
          <cell r="H157">
            <v>1360</v>
          </cell>
          <cell r="I157" t="str">
            <v>g</v>
          </cell>
          <cell r="J157">
            <v>0.9</v>
          </cell>
          <cell r="K157">
            <v>2.97</v>
          </cell>
          <cell r="M157">
            <v>2.183823529411765E-3</v>
          </cell>
        </row>
        <row r="158">
          <cell r="F158" t="str">
            <v>Mixed bell pepper</v>
          </cell>
          <cell r="H158">
            <v>454</v>
          </cell>
          <cell r="I158" t="str">
            <v>g</v>
          </cell>
          <cell r="J158">
            <v>0.99</v>
          </cell>
          <cell r="K158">
            <v>4</v>
          </cell>
          <cell r="M158">
            <v>8.8105726872246704E-3</v>
          </cell>
        </row>
        <row r="159">
          <cell r="F159" t="str">
            <v>Unsalted Butter</v>
          </cell>
          <cell r="H159">
            <v>453</v>
          </cell>
          <cell r="I159" t="str">
            <v>g</v>
          </cell>
          <cell r="J159">
            <v>0.99</v>
          </cell>
          <cell r="K159">
            <v>6.99</v>
          </cell>
          <cell r="M159">
            <v>1.543046357615894E-2</v>
          </cell>
        </row>
        <row r="160">
          <cell r="F160" t="str">
            <v>Corn syrup</v>
          </cell>
          <cell r="H160">
            <v>1800</v>
          </cell>
          <cell r="I160" t="str">
            <v>ml</v>
          </cell>
          <cell r="J160">
            <v>0.99</v>
          </cell>
          <cell r="K160">
            <v>9.99</v>
          </cell>
          <cell r="M160">
            <v>5.5500000000000002E-3</v>
          </cell>
        </row>
        <row r="161">
          <cell r="F161" t="str">
            <v>Cook wine</v>
          </cell>
          <cell r="H161">
            <v>1800</v>
          </cell>
          <cell r="I161" t="str">
            <v>ml</v>
          </cell>
          <cell r="J161">
            <v>0.99</v>
          </cell>
          <cell r="K161">
            <v>10.99</v>
          </cell>
          <cell r="M161">
            <v>6.1055555555555559E-3</v>
          </cell>
        </row>
        <row r="162">
          <cell r="F162" t="str">
            <v>Cauliflower</v>
          </cell>
          <cell r="H162">
            <v>1000</v>
          </cell>
          <cell r="I162" t="str">
            <v>g</v>
          </cell>
          <cell r="J162">
            <v>0.8</v>
          </cell>
          <cell r="K162">
            <v>5</v>
          </cell>
          <cell r="M162">
            <v>5.0000000000000001E-3</v>
          </cell>
        </row>
        <row r="163">
          <cell r="F163" t="str">
            <v>Broccoli</v>
          </cell>
          <cell r="H163">
            <v>453</v>
          </cell>
          <cell r="I163" t="str">
            <v>g</v>
          </cell>
          <cell r="J163">
            <v>0.99</v>
          </cell>
          <cell r="K163">
            <v>1.99</v>
          </cell>
          <cell r="M163">
            <v>4.3929359823399556E-3</v>
          </cell>
        </row>
        <row r="164">
          <cell r="F164" t="str">
            <v>Calamari</v>
          </cell>
          <cell r="H164">
            <v>1813</v>
          </cell>
          <cell r="I164" t="str">
            <v>g</v>
          </cell>
          <cell r="J164">
            <v>0.99</v>
          </cell>
          <cell r="K164">
            <v>72.8</v>
          </cell>
          <cell r="M164">
            <v>4.0154440154440155E-2</v>
          </cell>
        </row>
        <row r="165">
          <cell r="F165" t="str">
            <v>Spring mix</v>
          </cell>
          <cell r="H165">
            <v>312</v>
          </cell>
          <cell r="I165" t="str">
            <v>g</v>
          </cell>
          <cell r="J165">
            <v>0.95</v>
          </cell>
          <cell r="K165">
            <v>4.99</v>
          </cell>
          <cell r="M165">
            <v>1.5993589743589744E-2</v>
          </cell>
        </row>
        <row r="166">
          <cell r="F166" t="str">
            <v>Bacon Bite</v>
          </cell>
          <cell r="H166">
            <v>2200</v>
          </cell>
          <cell r="I166" t="str">
            <v>g</v>
          </cell>
          <cell r="J166">
            <v>0.99</v>
          </cell>
          <cell r="K166">
            <v>33.770000000000003</v>
          </cell>
          <cell r="M166">
            <v>1.5350000000000001E-2</v>
          </cell>
        </row>
        <row r="167">
          <cell r="F167" t="str">
            <v>Garlic Powder</v>
          </cell>
          <cell r="H167">
            <v>150</v>
          </cell>
          <cell r="I167" t="str">
            <v>g</v>
          </cell>
          <cell r="J167">
            <v>0.99</v>
          </cell>
          <cell r="K167">
            <v>1.97</v>
          </cell>
          <cell r="M167">
            <v>1.3133333333333334E-2</v>
          </cell>
        </row>
        <row r="168">
          <cell r="F168" t="str">
            <v>Olive oil</v>
          </cell>
          <cell r="H168">
            <v>2000</v>
          </cell>
          <cell r="I168" t="str">
            <v>ml</v>
          </cell>
          <cell r="J168">
            <v>0.99</v>
          </cell>
          <cell r="K168">
            <v>16.97</v>
          </cell>
          <cell r="M168">
            <v>8.4849999999999995E-3</v>
          </cell>
        </row>
        <row r="169">
          <cell r="F169" t="str">
            <v>Prawn Stick</v>
          </cell>
          <cell r="H169">
            <v>60</v>
          </cell>
          <cell r="I169" t="str">
            <v>ea</v>
          </cell>
          <cell r="J169">
            <v>1</v>
          </cell>
          <cell r="K169">
            <v>61</v>
          </cell>
          <cell r="M169">
            <v>1.0166666666666666</v>
          </cell>
        </row>
        <row r="170">
          <cell r="F170" t="str">
            <v>Pickled Radish</v>
          </cell>
          <cell r="H170">
            <v>18000</v>
          </cell>
          <cell r="I170" t="str">
            <v>g</v>
          </cell>
          <cell r="J170">
            <v>0.95</v>
          </cell>
          <cell r="K170">
            <v>39.14</v>
          </cell>
          <cell r="M170">
            <v>2.1744444444444446E-3</v>
          </cell>
        </row>
        <row r="171">
          <cell r="F171" t="str">
            <v>Nori Furikake</v>
          </cell>
          <cell r="H171">
            <v>22</v>
          </cell>
          <cell r="I171" t="str">
            <v>g</v>
          </cell>
          <cell r="J171">
            <v>0.99</v>
          </cell>
          <cell r="K171">
            <v>3.65</v>
          </cell>
          <cell r="M171">
            <v>0.16590909090909089</v>
          </cell>
        </row>
        <row r="172">
          <cell r="F172" t="str">
            <v>Capsaicin</v>
          </cell>
          <cell r="H172">
            <v>290</v>
          </cell>
          <cell r="I172" t="str">
            <v>g</v>
          </cell>
          <cell r="J172">
            <v>0.99</v>
          </cell>
          <cell r="K172">
            <v>11.99</v>
          </cell>
          <cell r="M172">
            <v>4.1344827586206896E-2</v>
          </cell>
        </row>
        <row r="173">
          <cell r="F173" t="str">
            <v>Chili powder</v>
          </cell>
          <cell r="H173">
            <v>150</v>
          </cell>
          <cell r="I173" t="str">
            <v>g</v>
          </cell>
          <cell r="J173">
            <v>0.99</v>
          </cell>
          <cell r="K173">
            <v>1.97</v>
          </cell>
          <cell r="M173">
            <v>1.3133333333333334E-2</v>
          </cell>
        </row>
        <row r="174">
          <cell r="F174" t="str">
            <v>Hot Crispy Seasoning</v>
          </cell>
          <cell r="H174">
            <v>20000</v>
          </cell>
          <cell r="I174" t="str">
            <v>g</v>
          </cell>
          <cell r="J174">
            <v>0.99</v>
          </cell>
          <cell r="K174">
            <v>265</v>
          </cell>
          <cell r="M174">
            <v>1.325E-2</v>
          </cell>
        </row>
        <row r="175">
          <cell r="F175" t="str">
            <v>Red chakchak</v>
          </cell>
          <cell r="H175">
            <v>5000</v>
          </cell>
          <cell r="I175" t="str">
            <v>g</v>
          </cell>
          <cell r="J175">
            <v>0.99</v>
          </cell>
          <cell r="K175">
            <v>172.02</v>
          </cell>
          <cell r="M175">
            <v>3.4404000000000004E-2</v>
          </cell>
        </row>
        <row r="176">
          <cell r="F176" t="str">
            <v>black pepper Seasoning</v>
          </cell>
          <cell r="H176">
            <v>12000</v>
          </cell>
          <cell r="I176" t="str">
            <v>g</v>
          </cell>
          <cell r="J176">
            <v>0.99</v>
          </cell>
          <cell r="K176">
            <v>156.22999999999999</v>
          </cell>
          <cell r="M176">
            <v>1.3019166666666665E-2</v>
          </cell>
        </row>
        <row r="177">
          <cell r="F177" t="str">
            <v>avocado</v>
          </cell>
          <cell r="H177">
            <v>1</v>
          </cell>
          <cell r="I177" t="str">
            <v>ea</v>
          </cell>
          <cell r="J177">
            <v>0.99</v>
          </cell>
          <cell r="K177">
            <v>1</v>
          </cell>
          <cell r="M177">
            <v>1</v>
          </cell>
        </row>
        <row r="178">
          <cell r="F178" t="str">
            <v>strawberry</v>
          </cell>
          <cell r="H178">
            <v>907</v>
          </cell>
          <cell r="I178" t="str">
            <v>g</v>
          </cell>
          <cell r="J178">
            <v>0.99</v>
          </cell>
          <cell r="K178">
            <v>9.99</v>
          </cell>
          <cell r="M178">
            <v>1.101433296582139E-2</v>
          </cell>
        </row>
        <row r="179">
          <cell r="F179" t="str">
            <v>blueberry</v>
          </cell>
          <cell r="H179">
            <v>510</v>
          </cell>
          <cell r="I179" t="str">
            <v>g</v>
          </cell>
          <cell r="J179">
            <v>0.99</v>
          </cell>
          <cell r="K179">
            <v>7.99</v>
          </cell>
          <cell r="M179">
            <v>1.5666666666666666E-2</v>
          </cell>
        </row>
        <row r="180">
          <cell r="F180" t="str">
            <v>banana</v>
          </cell>
          <cell r="H180">
            <v>5</v>
          </cell>
          <cell r="I180" t="str">
            <v>ea</v>
          </cell>
          <cell r="J180">
            <v>0.99</v>
          </cell>
          <cell r="K180">
            <v>1.37</v>
          </cell>
          <cell r="M180">
            <v>0.27400000000000002</v>
          </cell>
        </row>
        <row r="181">
          <cell r="F181" t="str">
            <v>kale</v>
          </cell>
          <cell r="H181">
            <v>260</v>
          </cell>
          <cell r="I181" t="str">
            <v>g</v>
          </cell>
          <cell r="J181">
            <v>0.99</v>
          </cell>
          <cell r="K181">
            <v>3.49</v>
          </cell>
          <cell r="M181">
            <v>1.3423076923076925E-2</v>
          </cell>
        </row>
        <row r="182">
          <cell r="F182" t="str">
            <v>ice berg</v>
          </cell>
          <cell r="H182">
            <v>500</v>
          </cell>
          <cell r="I182" t="str">
            <v>g</v>
          </cell>
          <cell r="J182">
            <v>0.99</v>
          </cell>
          <cell r="K182">
            <v>3.49</v>
          </cell>
          <cell r="M182">
            <v>6.9800000000000001E-3</v>
          </cell>
        </row>
        <row r="183">
          <cell r="F183" t="str">
            <v>cherry tomato</v>
          </cell>
          <cell r="H183">
            <v>907</v>
          </cell>
          <cell r="I183" t="str">
            <v>g</v>
          </cell>
          <cell r="J183">
            <v>0.99</v>
          </cell>
          <cell r="K183">
            <v>6.99</v>
          </cell>
          <cell r="M183">
            <v>7.7067254685777289E-3</v>
          </cell>
        </row>
        <row r="184">
          <cell r="F184" t="str">
            <v>Lemon syrup</v>
          </cell>
          <cell r="H184">
            <v>600</v>
          </cell>
          <cell r="I184" t="str">
            <v>g</v>
          </cell>
          <cell r="J184">
            <v>0.99</v>
          </cell>
          <cell r="K184">
            <v>1.86</v>
          </cell>
          <cell r="M184">
            <v>3.1000000000000003E-3</v>
          </cell>
        </row>
        <row r="185">
          <cell r="F185" t="str">
            <v>peeled garlic</v>
          </cell>
          <cell r="H185">
            <v>374</v>
          </cell>
          <cell r="I185" t="str">
            <v>g</v>
          </cell>
          <cell r="J185">
            <v>0.99</v>
          </cell>
          <cell r="K185">
            <v>3.29</v>
          </cell>
          <cell r="M185">
            <v>8.7967914438502673E-3</v>
          </cell>
        </row>
        <row r="186">
          <cell r="F186" t="str">
            <v>parsley</v>
          </cell>
          <cell r="H186">
            <v>152</v>
          </cell>
          <cell r="I186" t="str">
            <v>g</v>
          </cell>
          <cell r="J186">
            <v>0.99</v>
          </cell>
          <cell r="K186">
            <v>2.4900000000000002</v>
          </cell>
          <cell r="M186">
            <v>1.6381578947368424E-2</v>
          </cell>
        </row>
        <row r="187">
          <cell r="F187" t="str">
            <v>cream cheese</v>
          </cell>
          <cell r="H187">
            <v>1000</v>
          </cell>
          <cell r="I187" t="str">
            <v>g</v>
          </cell>
          <cell r="J187">
            <v>0.99</v>
          </cell>
          <cell r="K187">
            <v>10.89</v>
          </cell>
          <cell r="M187">
            <v>1.089E-2</v>
          </cell>
        </row>
        <row r="188">
          <cell r="F188" t="str">
            <v>sour cream</v>
          </cell>
          <cell r="H188">
            <v>453</v>
          </cell>
          <cell r="I188" t="str">
            <v>g</v>
          </cell>
          <cell r="J188">
            <v>0.99</v>
          </cell>
          <cell r="K188">
            <v>2.4900000000000002</v>
          </cell>
          <cell r="M188">
            <v>5.4966887417218545E-3</v>
          </cell>
        </row>
        <row r="189">
          <cell r="F189" t="str">
            <v>vanilla icecream</v>
          </cell>
          <cell r="H189">
            <v>4000</v>
          </cell>
          <cell r="I189" t="str">
            <v>g</v>
          </cell>
          <cell r="J189">
            <v>0.99</v>
          </cell>
          <cell r="K189">
            <v>7.99</v>
          </cell>
          <cell r="M189">
            <v>1.9975000000000001E-3</v>
          </cell>
        </row>
        <row r="190">
          <cell r="F190" t="str">
            <v>grilled chicken</v>
          </cell>
          <cell r="H190">
            <v>1000</v>
          </cell>
          <cell r="I190" t="str">
            <v>g</v>
          </cell>
          <cell r="J190">
            <v>0.85</v>
          </cell>
          <cell r="K190">
            <v>9</v>
          </cell>
          <cell r="M190">
            <v>8.9999999999999993E-3</v>
          </cell>
        </row>
        <row r="191">
          <cell r="F191" t="str">
            <v>mushroom</v>
          </cell>
          <cell r="H191">
            <v>100</v>
          </cell>
          <cell r="I191" t="str">
            <v>g</v>
          </cell>
          <cell r="J191">
            <v>0.99</v>
          </cell>
          <cell r="K191">
            <v>1.21</v>
          </cell>
          <cell r="M191">
            <v>1.21E-2</v>
          </cell>
        </row>
        <row r="192">
          <cell r="F192" t="str">
            <v>Garlic confit</v>
          </cell>
          <cell r="H192">
            <v>850</v>
          </cell>
          <cell r="I192" t="str">
            <v>g</v>
          </cell>
          <cell r="J192">
            <v>0.99</v>
          </cell>
          <cell r="K192">
            <v>4.7</v>
          </cell>
          <cell r="M192">
            <v>5.5294117647058825E-3</v>
          </cell>
        </row>
        <row r="193">
          <cell r="F193" t="str">
            <v>smoked salmon</v>
          </cell>
          <cell r="H193">
            <v>550</v>
          </cell>
          <cell r="I193" t="str">
            <v>g</v>
          </cell>
          <cell r="J193">
            <v>0.99</v>
          </cell>
          <cell r="K193">
            <v>24.09</v>
          </cell>
          <cell r="M193">
            <v>4.3799999999999999E-2</v>
          </cell>
        </row>
        <row r="194">
          <cell r="F194" t="str">
            <v>prawn 31-40</v>
          </cell>
          <cell r="H194">
            <v>907</v>
          </cell>
          <cell r="I194" t="str">
            <v>g</v>
          </cell>
          <cell r="J194">
            <v>0.99</v>
          </cell>
          <cell r="K194">
            <v>17.989999999999998</v>
          </cell>
          <cell r="M194">
            <v>1.9834619625137814E-2</v>
          </cell>
        </row>
        <row r="195">
          <cell r="F195" t="str">
            <v>sugar powder</v>
          </cell>
          <cell r="H195">
            <v>1000</v>
          </cell>
          <cell r="I195" t="str">
            <v>g</v>
          </cell>
          <cell r="J195">
            <v>0.99</v>
          </cell>
          <cell r="K195">
            <v>3.3</v>
          </cell>
          <cell r="M195">
            <v>3.3E-3</v>
          </cell>
        </row>
        <row r="196">
          <cell r="F196" t="str">
            <v>nacho cheese</v>
          </cell>
          <cell r="H196">
            <v>3000</v>
          </cell>
          <cell r="I196" t="str">
            <v>g</v>
          </cell>
          <cell r="J196">
            <v>0.99</v>
          </cell>
          <cell r="K196">
            <v>15.89</v>
          </cell>
          <cell r="M196">
            <v>5.2966666666666665E-3</v>
          </cell>
        </row>
        <row r="197">
          <cell r="F197" t="str">
            <v>dried cranberry</v>
          </cell>
          <cell r="H197">
            <v>1800</v>
          </cell>
          <cell r="I197" t="str">
            <v>g</v>
          </cell>
          <cell r="J197">
            <v>0.99</v>
          </cell>
          <cell r="K197">
            <v>15.99</v>
          </cell>
          <cell r="M197">
            <v>8.8833333333333334E-3</v>
          </cell>
        </row>
        <row r="198">
          <cell r="F198" t="str">
            <v>sliced almonds</v>
          </cell>
          <cell r="H198">
            <v>295</v>
          </cell>
          <cell r="I198" t="str">
            <v>g</v>
          </cell>
          <cell r="J198">
            <v>0.99</v>
          </cell>
          <cell r="K198">
            <v>8.09</v>
          </cell>
          <cell r="M198">
            <v>2.7423728813559322E-2</v>
          </cell>
        </row>
        <row r="199">
          <cell r="F199" t="str">
            <v>biscuit</v>
          </cell>
          <cell r="H199">
            <v>300</v>
          </cell>
          <cell r="I199" t="str">
            <v>g</v>
          </cell>
          <cell r="J199">
            <v>0.99</v>
          </cell>
          <cell r="K199">
            <v>3</v>
          </cell>
          <cell r="M199">
            <v>0.01</v>
          </cell>
        </row>
        <row r="200">
          <cell r="F200" t="str">
            <v>oreo</v>
          </cell>
          <cell r="H200">
            <v>260</v>
          </cell>
          <cell r="I200" t="str">
            <v>g</v>
          </cell>
          <cell r="J200">
            <v>0.99</v>
          </cell>
          <cell r="K200">
            <v>3.99</v>
          </cell>
          <cell r="M200">
            <v>1.5346153846153846E-2</v>
          </cell>
        </row>
        <row r="201">
          <cell r="F201" t="str">
            <v>flat bread</v>
          </cell>
          <cell r="H201">
            <v>12</v>
          </cell>
          <cell r="I201" t="str">
            <v>ea</v>
          </cell>
          <cell r="J201">
            <v>0.99</v>
          </cell>
          <cell r="K201">
            <v>8.49</v>
          </cell>
          <cell r="M201">
            <v>0.70750000000000002</v>
          </cell>
        </row>
        <row r="202">
          <cell r="F202" t="str">
            <v>pasta rotini</v>
          </cell>
          <cell r="H202">
            <v>1810</v>
          </cell>
          <cell r="I202" t="str">
            <v>g</v>
          </cell>
          <cell r="J202">
            <v>0.99</v>
          </cell>
          <cell r="K202">
            <v>4.49</v>
          </cell>
          <cell r="M202">
            <v>2.4806629834254147E-3</v>
          </cell>
        </row>
        <row r="203">
          <cell r="F203" t="str">
            <v>tomato sauce</v>
          </cell>
          <cell r="H203">
            <v>3600</v>
          </cell>
          <cell r="I203" t="str">
            <v>g</v>
          </cell>
          <cell r="J203">
            <v>0.99</v>
          </cell>
          <cell r="K203">
            <v>13.99</v>
          </cell>
          <cell r="M203">
            <v>3.886111111111111E-3</v>
          </cell>
        </row>
        <row r="204">
          <cell r="F204" t="str">
            <v>pesto</v>
          </cell>
          <cell r="H204">
            <v>630</v>
          </cell>
          <cell r="I204" t="str">
            <v>g</v>
          </cell>
          <cell r="J204">
            <v>0.99</v>
          </cell>
          <cell r="K204">
            <v>13.99</v>
          </cell>
          <cell r="M204">
            <v>2.2206349206349205E-2</v>
          </cell>
        </row>
        <row r="205">
          <cell r="F205" t="str">
            <v>cheesy sauce</v>
          </cell>
          <cell r="H205">
            <v>300</v>
          </cell>
          <cell r="I205" t="str">
            <v>g</v>
          </cell>
          <cell r="J205">
            <v>0.99</v>
          </cell>
          <cell r="K205">
            <v>2.6</v>
          </cell>
          <cell r="M205">
            <v>8.6666666666666663E-3</v>
          </cell>
        </row>
        <row r="206">
          <cell r="F206" t="str">
            <v>choco syrup</v>
          </cell>
          <cell r="H206">
            <v>523</v>
          </cell>
          <cell r="I206" t="str">
            <v>g</v>
          </cell>
          <cell r="J206">
            <v>0.99</v>
          </cell>
          <cell r="K206">
            <v>4.99</v>
          </cell>
          <cell r="M206">
            <v>9.5411089866156793E-3</v>
          </cell>
        </row>
        <row r="207">
          <cell r="F207" t="str">
            <v>strawberry syrup</v>
          </cell>
          <cell r="H207">
            <v>472</v>
          </cell>
          <cell r="I207" t="str">
            <v>g</v>
          </cell>
          <cell r="J207">
            <v>0.99</v>
          </cell>
          <cell r="K207">
            <v>4.99</v>
          </cell>
          <cell r="M207">
            <v>1.0572033898305085E-2</v>
          </cell>
        </row>
        <row r="208">
          <cell r="F208" t="str">
            <v>caramel syrup</v>
          </cell>
          <cell r="H208">
            <v>462</v>
          </cell>
          <cell r="I208" t="str">
            <v>g</v>
          </cell>
          <cell r="J208">
            <v>0.99</v>
          </cell>
          <cell r="K208">
            <v>4.99</v>
          </cell>
          <cell r="M208">
            <v>1.0800865800865801E-2</v>
          </cell>
        </row>
        <row r="209">
          <cell r="F209" t="str">
            <v>croissant</v>
          </cell>
          <cell r="H209">
            <v>12</v>
          </cell>
          <cell r="I209" t="str">
            <v>ea</v>
          </cell>
          <cell r="J209">
            <v>0.99</v>
          </cell>
          <cell r="K209">
            <v>5.99</v>
          </cell>
          <cell r="M209">
            <v>0.4991666666666667</v>
          </cell>
        </row>
        <row r="210">
          <cell r="F210" t="str">
            <v>croissant dough</v>
          </cell>
          <cell r="H210">
            <v>204</v>
          </cell>
          <cell r="I210" t="str">
            <v>ea</v>
          </cell>
          <cell r="J210">
            <v>0.99</v>
          </cell>
          <cell r="K210">
            <v>70.989999999999995</v>
          </cell>
          <cell r="M210">
            <v>0.34799019607843135</v>
          </cell>
        </row>
        <row r="211">
          <cell r="F211" t="str">
            <v>nutella</v>
          </cell>
          <cell r="G211" t="str">
            <v>nutella</v>
          </cell>
          <cell r="H211">
            <v>2000</v>
          </cell>
          <cell r="I211" t="str">
            <v>g</v>
          </cell>
          <cell r="J211">
            <v>0.99</v>
          </cell>
          <cell r="K211">
            <v>17.489999999999998</v>
          </cell>
          <cell r="M211">
            <v>8.7449999999999993E-3</v>
          </cell>
        </row>
        <row r="212">
          <cell r="F212" t="str">
            <v>lemon dressing</v>
          </cell>
          <cell r="H212">
            <v>505</v>
          </cell>
          <cell r="I212" t="str">
            <v>g</v>
          </cell>
          <cell r="J212">
            <v>0.99</v>
          </cell>
          <cell r="K212">
            <v>5.13</v>
          </cell>
          <cell r="M212">
            <v>1.0158415841584159E-2</v>
          </cell>
        </row>
        <row r="213">
          <cell r="F213" t="str">
            <v>Walnut crumble</v>
          </cell>
          <cell r="H213">
            <v>305</v>
          </cell>
          <cell r="I213" t="str">
            <v>g</v>
          </cell>
          <cell r="J213">
            <v>0.99</v>
          </cell>
          <cell r="K213">
            <v>8.3699999999999992</v>
          </cell>
          <cell r="M213">
            <v>2.7442622950819669E-2</v>
          </cell>
        </row>
        <row r="214">
          <cell r="F214" t="str">
            <v>Dill pickles</v>
          </cell>
          <cell r="H214">
            <v>1000</v>
          </cell>
          <cell r="I214" t="str">
            <v>g</v>
          </cell>
          <cell r="J214">
            <v>0.99</v>
          </cell>
          <cell r="K214">
            <v>4.7699999999999996</v>
          </cell>
          <cell r="M214">
            <v>4.7699999999999999E-3</v>
          </cell>
        </row>
        <row r="215">
          <cell r="F215" t="str">
            <v>corn frost</v>
          </cell>
          <cell r="H215">
            <v>1060</v>
          </cell>
          <cell r="I215" t="str">
            <v>g</v>
          </cell>
          <cell r="J215">
            <v>0.99</v>
          </cell>
          <cell r="K215">
            <v>8.9700000000000006</v>
          </cell>
          <cell r="M215">
            <v>8.4622641509433973E-3</v>
          </cell>
        </row>
        <row r="216">
          <cell r="F216" t="str">
            <v>chick peas</v>
          </cell>
          <cell r="H216">
            <v>400</v>
          </cell>
          <cell r="I216" t="str">
            <v>g</v>
          </cell>
          <cell r="J216">
            <v>0.99</v>
          </cell>
          <cell r="K216">
            <v>1.99</v>
          </cell>
          <cell r="M216">
            <v>4.9750000000000003E-3</v>
          </cell>
        </row>
        <row r="217">
          <cell r="F217" t="str">
            <v>sliced cheese</v>
          </cell>
          <cell r="H217">
            <v>825</v>
          </cell>
          <cell r="I217" t="str">
            <v>g</v>
          </cell>
          <cell r="J217">
            <v>0.99</v>
          </cell>
          <cell r="K217">
            <v>10.99</v>
          </cell>
          <cell r="M217">
            <v>1.3321212121212121E-2</v>
          </cell>
        </row>
        <row r="218">
          <cell r="F218" t="str">
            <v>Creamy Sauce</v>
          </cell>
          <cell r="H218">
            <v>6000</v>
          </cell>
          <cell r="I218" t="str">
            <v>g</v>
          </cell>
          <cell r="J218">
            <v>0.95</v>
          </cell>
          <cell r="K218">
            <v>17.82</v>
          </cell>
          <cell r="M218">
            <v>2.97E-3</v>
          </cell>
        </row>
        <row r="219">
          <cell r="F219" t="str">
            <v>Mustard</v>
          </cell>
          <cell r="H219">
            <v>550</v>
          </cell>
          <cell r="I219" t="str">
            <v>g</v>
          </cell>
          <cell r="J219">
            <v>0.95</v>
          </cell>
          <cell r="K219">
            <v>3.77</v>
          </cell>
          <cell r="M219">
            <v>6.8545454545454543E-3</v>
          </cell>
        </row>
        <row r="220">
          <cell r="F220" t="str">
            <v>Kimchi base</v>
          </cell>
          <cell r="H220">
            <v>1177</v>
          </cell>
          <cell r="I220" t="str">
            <v>g</v>
          </cell>
          <cell r="J220">
            <v>0.95</v>
          </cell>
          <cell r="K220">
            <v>11.6</v>
          </cell>
          <cell r="M220">
            <v>9.8555649957519122E-3</v>
          </cell>
        </row>
        <row r="221">
          <cell r="F221" t="str">
            <v>dark soy sauce</v>
          </cell>
          <cell r="H221">
            <v>500</v>
          </cell>
          <cell r="I221" t="str">
            <v>g</v>
          </cell>
          <cell r="J221">
            <v>0.99</v>
          </cell>
          <cell r="K221">
            <v>3.98</v>
          </cell>
          <cell r="M221">
            <v>7.9600000000000001E-3</v>
          </cell>
        </row>
        <row r="222">
          <cell r="F222" t="str">
            <v>Sliced Beef</v>
          </cell>
          <cell r="H222">
            <v>2500</v>
          </cell>
          <cell r="I222" t="str">
            <v>g</v>
          </cell>
          <cell r="J222">
            <v>0.95</v>
          </cell>
          <cell r="K222">
            <v>39.47</v>
          </cell>
          <cell r="M222">
            <v>1.5788E-2</v>
          </cell>
        </row>
        <row r="223">
          <cell r="F223" t="str">
            <v>potato</v>
          </cell>
          <cell r="H223">
            <v>4535</v>
          </cell>
          <cell r="I223" t="str">
            <v>g</v>
          </cell>
          <cell r="J223">
            <v>0.9</v>
          </cell>
          <cell r="K223">
            <v>8.9700000000000006</v>
          </cell>
          <cell r="M223">
            <v>1.977949283351709E-3</v>
          </cell>
        </row>
        <row r="224">
          <cell r="F224" t="str">
            <v>Whip Cream</v>
          </cell>
          <cell r="H224">
            <v>946</v>
          </cell>
          <cell r="I224" t="str">
            <v>ml</v>
          </cell>
          <cell r="J224">
            <v>0.95</v>
          </cell>
          <cell r="K224">
            <v>6.28</v>
          </cell>
          <cell r="M224">
            <v>6.6384778012684989E-3</v>
          </cell>
        </row>
        <row r="225">
          <cell r="F225" t="str">
            <v>Milk</v>
          </cell>
          <cell r="H225">
            <v>2000</v>
          </cell>
          <cell r="I225" t="str">
            <v>ml</v>
          </cell>
          <cell r="J225">
            <v>0.95</v>
          </cell>
          <cell r="K225">
            <v>4.78</v>
          </cell>
          <cell r="M225">
            <v>2.3900000000000002E-3</v>
          </cell>
        </row>
        <row r="226">
          <cell r="F226" t="str">
            <v>bacon</v>
          </cell>
          <cell r="H226">
            <v>100</v>
          </cell>
          <cell r="I226" t="str">
            <v>g</v>
          </cell>
          <cell r="J226">
            <v>0.99</v>
          </cell>
          <cell r="K226">
            <v>1.59</v>
          </cell>
          <cell r="M226">
            <v>1.5900000000000001E-2</v>
          </cell>
        </row>
        <row r="227">
          <cell r="F227" t="str">
            <v>Mixed Vegitable</v>
          </cell>
          <cell r="H227">
            <v>1000</v>
          </cell>
          <cell r="I227" t="str">
            <v>g</v>
          </cell>
          <cell r="J227">
            <v>0.99</v>
          </cell>
          <cell r="K227">
            <v>4.32</v>
          </cell>
          <cell r="M227">
            <v>4.3200000000000001E-3</v>
          </cell>
        </row>
        <row r="228">
          <cell r="F228" t="str">
            <v>Rice</v>
          </cell>
          <cell r="H228">
            <v>40000</v>
          </cell>
          <cell r="I228" t="str">
            <v>g</v>
          </cell>
          <cell r="J228">
            <v>0.95</v>
          </cell>
          <cell r="K228">
            <v>40</v>
          </cell>
          <cell r="M228">
            <v>1E-3</v>
          </cell>
        </row>
        <row r="229">
          <cell r="F229" t="str">
            <v>Jalapeno</v>
          </cell>
          <cell r="H229">
            <v>255</v>
          </cell>
          <cell r="I229" t="str">
            <v>g</v>
          </cell>
          <cell r="J229">
            <v>0.95</v>
          </cell>
          <cell r="K229">
            <v>4.97</v>
          </cell>
          <cell r="M229">
            <v>1.949019607843137E-2</v>
          </cell>
        </row>
        <row r="230">
          <cell r="F230" t="str">
            <v>Soy Sauce</v>
          </cell>
          <cell r="H230">
            <v>1900</v>
          </cell>
          <cell r="I230" t="str">
            <v>g</v>
          </cell>
          <cell r="J230">
            <v>0.95</v>
          </cell>
          <cell r="K230">
            <v>7.47</v>
          </cell>
          <cell r="M230">
            <v>3.9315789473684205E-3</v>
          </cell>
        </row>
        <row r="231">
          <cell r="F231" t="str">
            <v>Korean soft tofu</v>
          </cell>
          <cell r="H231">
            <v>1</v>
          </cell>
          <cell r="I231" t="str">
            <v>ea</v>
          </cell>
          <cell r="J231">
            <v>0.99</v>
          </cell>
          <cell r="K231">
            <v>2.99</v>
          </cell>
          <cell r="M231">
            <v>2.99</v>
          </cell>
        </row>
        <row r="232">
          <cell r="F232" t="str">
            <v>Zucchini</v>
          </cell>
          <cell r="H232">
            <v>100</v>
          </cell>
          <cell r="I232" t="str">
            <v>g</v>
          </cell>
          <cell r="J232">
            <v>0.95</v>
          </cell>
          <cell r="K232">
            <v>0.3</v>
          </cell>
          <cell r="M232">
            <v>3.0000000000000001E-3</v>
          </cell>
        </row>
        <row r="233">
          <cell r="F233" t="str">
            <v>Spam</v>
          </cell>
          <cell r="H233">
            <v>340</v>
          </cell>
          <cell r="I233" t="str">
            <v>g</v>
          </cell>
          <cell r="J233">
            <v>0.95</v>
          </cell>
          <cell r="K233">
            <v>4.47</v>
          </cell>
          <cell r="M233">
            <v>1.3147058823529411E-2</v>
          </cell>
        </row>
        <row r="234">
          <cell r="F234" t="str">
            <v>Mixed Seafood</v>
          </cell>
          <cell r="H234">
            <v>800</v>
          </cell>
          <cell r="I234" t="str">
            <v>g</v>
          </cell>
          <cell r="J234">
            <v>0.99</v>
          </cell>
          <cell r="K234">
            <v>8.9700000000000006</v>
          </cell>
          <cell r="M234">
            <v>1.12125E-2</v>
          </cell>
        </row>
        <row r="235">
          <cell r="F235" t="str">
            <v>Sundubu-Dadaeki</v>
          </cell>
          <cell r="H235">
            <v>340</v>
          </cell>
          <cell r="I235" t="str">
            <v>g</v>
          </cell>
          <cell r="J235">
            <v>0.95</v>
          </cell>
          <cell r="K235">
            <v>10.7</v>
          </cell>
          <cell r="M235">
            <v>3.1470588235294118E-2</v>
          </cell>
        </row>
        <row r="236">
          <cell r="F236" t="str">
            <v>Red pepper oil</v>
          </cell>
          <cell r="H236">
            <v>150</v>
          </cell>
          <cell r="I236" t="str">
            <v>ml</v>
          </cell>
          <cell r="J236">
            <v>0.95</v>
          </cell>
          <cell r="K236">
            <v>6.99</v>
          </cell>
          <cell r="M236">
            <v>4.6600000000000003E-2</v>
          </cell>
        </row>
        <row r="237">
          <cell r="F237" t="str">
            <v>pork belly</v>
          </cell>
          <cell r="H237">
            <v>100</v>
          </cell>
          <cell r="I237" t="str">
            <v>g</v>
          </cell>
          <cell r="J237">
            <v>0.95</v>
          </cell>
          <cell r="K237">
            <v>1.87</v>
          </cell>
          <cell r="M237">
            <v>1.8700000000000001E-2</v>
          </cell>
        </row>
        <row r="238">
          <cell r="F238" t="str">
            <v>Kimchi JJIGAE</v>
          </cell>
          <cell r="H238">
            <v>4060</v>
          </cell>
          <cell r="I238" t="str">
            <v>g</v>
          </cell>
          <cell r="J238">
            <v>0.95</v>
          </cell>
          <cell r="K238">
            <v>45.49</v>
          </cell>
          <cell r="M238">
            <v>1.1204433497536947E-2</v>
          </cell>
        </row>
        <row r="239">
          <cell r="F239" t="str">
            <v>Tofu</v>
          </cell>
          <cell r="H239">
            <v>700</v>
          </cell>
          <cell r="I239" t="str">
            <v>g</v>
          </cell>
          <cell r="J239">
            <v>0.95</v>
          </cell>
          <cell r="K239">
            <v>2.99</v>
          </cell>
          <cell r="M239">
            <v>4.2714285714285719E-3</v>
          </cell>
        </row>
        <row r="240">
          <cell r="F240" t="str">
            <v>Pickled Jalapeno</v>
          </cell>
          <cell r="H240">
            <v>375</v>
          </cell>
          <cell r="I240" t="str">
            <v>g</v>
          </cell>
          <cell r="J240">
            <v>0.5</v>
          </cell>
          <cell r="K240">
            <v>1.97</v>
          </cell>
          <cell r="M240">
            <v>5.2533333333333329E-3</v>
          </cell>
        </row>
        <row r="241">
          <cell r="F241" t="str">
            <v>Smoke Liquid</v>
          </cell>
          <cell r="H241">
            <v>103</v>
          </cell>
          <cell r="I241" t="str">
            <v>g</v>
          </cell>
          <cell r="J241">
            <v>0.95</v>
          </cell>
          <cell r="K241">
            <v>2.97</v>
          </cell>
          <cell r="M241">
            <v>2.8834951456310681E-2</v>
          </cell>
        </row>
        <row r="242">
          <cell r="F242" t="str">
            <v>Jalapeno</v>
          </cell>
          <cell r="H242">
            <v>225</v>
          </cell>
          <cell r="I242" t="str">
            <v>g</v>
          </cell>
          <cell r="J242">
            <v>0.95</v>
          </cell>
          <cell r="K242">
            <v>2.97</v>
          </cell>
          <cell r="M242">
            <v>1.3200000000000002E-2</v>
          </cell>
        </row>
        <row r="243">
          <cell r="F243" t="str">
            <v>Jalapeño Creamy Sauce</v>
          </cell>
          <cell r="H243">
            <v>1125</v>
          </cell>
          <cell r="I243" t="str">
            <v>g</v>
          </cell>
          <cell r="J243">
            <v>0.95</v>
          </cell>
          <cell r="K243">
            <v>13.81</v>
          </cell>
          <cell r="M243">
            <v>1.2275555555555555E-2</v>
          </cell>
        </row>
        <row r="244">
          <cell r="F244" t="str">
            <v>Colpop cups</v>
          </cell>
          <cell r="H244" t="str">
            <v xml:space="preserve">  500 </v>
          </cell>
          <cell r="I244" t="str">
            <v>ea</v>
          </cell>
          <cell r="J244">
            <v>1</v>
          </cell>
          <cell r="K244">
            <v>116.86</v>
          </cell>
          <cell r="M244">
            <v>0.23372000000000001</v>
          </cell>
        </row>
        <row r="245">
          <cell r="F245" t="str">
            <v>Colpop containers</v>
          </cell>
          <cell r="H245" t="str">
            <v xml:space="preserve">  500 </v>
          </cell>
          <cell r="I245" t="str">
            <v>ea</v>
          </cell>
          <cell r="J245">
            <v>1</v>
          </cell>
          <cell r="K245">
            <v>79.650000000000006</v>
          </cell>
          <cell r="M245">
            <v>0.15930000000000002</v>
          </cell>
        </row>
        <row r="246">
          <cell r="F246" t="str">
            <v>straws</v>
          </cell>
          <cell r="H246" t="str">
            <v xml:space="preserve">  200 </v>
          </cell>
          <cell r="I246" t="str">
            <v>ea</v>
          </cell>
          <cell r="J246">
            <v>1</v>
          </cell>
          <cell r="K246">
            <v>8.9499999999999993</v>
          </cell>
          <cell r="M246">
            <v>4.4749999999999998E-2</v>
          </cell>
        </row>
        <row r="247">
          <cell r="F247" t="str">
            <v>toothpick</v>
          </cell>
          <cell r="H247" t="str">
            <v xml:space="preserve">  500 </v>
          </cell>
          <cell r="I247" t="str">
            <v>ea</v>
          </cell>
          <cell r="J247">
            <v>1</v>
          </cell>
          <cell r="K247">
            <v>19.989999999999998</v>
          </cell>
          <cell r="M247">
            <v>3.9979999999999995E-2</v>
          </cell>
        </row>
        <row r="248">
          <cell r="F248" t="str">
            <v>Pop (can)</v>
          </cell>
          <cell r="H248" t="str">
            <v xml:space="preserve">  1 </v>
          </cell>
          <cell r="I248" t="str">
            <v>ea</v>
          </cell>
          <cell r="J248">
            <v>1</v>
          </cell>
          <cell r="K248">
            <v>0.95</v>
          </cell>
          <cell r="M248">
            <v>0.95</v>
          </cell>
        </row>
        <row r="249">
          <cell r="F249" t="str">
            <v>Dipping Sauce</v>
          </cell>
          <cell r="H249">
            <v>603</v>
          </cell>
          <cell r="I249" t="str">
            <v>ml</v>
          </cell>
          <cell r="J249">
            <v>0.95</v>
          </cell>
          <cell r="K249">
            <v>4.423</v>
          </cell>
          <cell r="M249">
            <v>7.3349917081260369E-3</v>
          </cell>
        </row>
        <row r="250">
          <cell r="F250" t="str">
            <v>Mianbaoxia</v>
          </cell>
          <cell r="H250">
            <v>240</v>
          </cell>
          <cell r="I250" t="str">
            <v>ea</v>
          </cell>
          <cell r="J250">
            <v>1</v>
          </cell>
          <cell r="K250">
            <v>129.9</v>
          </cell>
          <cell r="M250">
            <v>0.54125000000000001</v>
          </cell>
        </row>
        <row r="251">
          <cell r="F251" t="str">
            <v>Onion Ringss</v>
          </cell>
          <cell r="H251">
            <v>4000</v>
          </cell>
          <cell r="I251" t="str">
            <v>g</v>
          </cell>
          <cell r="J251">
            <v>0.95</v>
          </cell>
          <cell r="K251">
            <v>45.72</v>
          </cell>
          <cell r="M251">
            <v>1.1429999999999999E-2</v>
          </cell>
        </row>
        <row r="252">
          <cell r="F252" t="str">
            <v>Sausage</v>
          </cell>
          <cell r="H252">
            <v>12</v>
          </cell>
          <cell r="I252" t="str">
            <v>g</v>
          </cell>
          <cell r="J252">
            <v>1</v>
          </cell>
          <cell r="K252">
            <v>2.97</v>
          </cell>
          <cell r="M252">
            <v>0.24750000000000003</v>
          </cell>
        </row>
        <row r="253">
          <cell r="F253" t="str">
            <v>mozzarella sticks</v>
          </cell>
          <cell r="H253">
            <v>60</v>
          </cell>
          <cell r="I253" t="str">
            <v>g</v>
          </cell>
          <cell r="J253">
            <v>0.95</v>
          </cell>
          <cell r="K253">
            <v>16.989999999999998</v>
          </cell>
          <cell r="M253">
            <v>0.28316666666666662</v>
          </cell>
        </row>
        <row r="254">
          <cell r="F254" t="str">
            <v>Mixed Vegitable</v>
          </cell>
          <cell r="H254">
            <v>1000</v>
          </cell>
          <cell r="I254" t="str">
            <v>g</v>
          </cell>
          <cell r="J254">
            <v>1</v>
          </cell>
          <cell r="K254">
            <v>4.3967591157548682</v>
          </cell>
          <cell r="M254">
            <v>4.3967591157548684E-3</v>
          </cell>
        </row>
        <row r="255">
          <cell r="F255" t="str">
            <v>bamboo stick</v>
          </cell>
          <cell r="H255">
            <v>2500</v>
          </cell>
          <cell r="I255" t="str">
            <v>ea</v>
          </cell>
          <cell r="J255">
            <v>1</v>
          </cell>
          <cell r="K255">
            <v>27.95</v>
          </cell>
          <cell r="M255">
            <v>1.1179999999999999E-2</v>
          </cell>
        </row>
        <row r="256">
          <cell r="F256" t="str">
            <v>starch noodle</v>
          </cell>
          <cell r="H256">
            <v>5</v>
          </cell>
          <cell r="I256" t="str">
            <v>ea</v>
          </cell>
          <cell r="J256">
            <v>1</v>
          </cell>
          <cell r="K256">
            <v>7.99</v>
          </cell>
          <cell r="M256">
            <v>1.5980000000000001</v>
          </cell>
        </row>
        <row r="257">
          <cell r="F257" t="str">
            <v xml:space="preserve">fish sauce </v>
          </cell>
          <cell r="H257">
            <v>100</v>
          </cell>
          <cell r="I257" t="str">
            <v>ml</v>
          </cell>
          <cell r="J257">
            <v>0.95</v>
          </cell>
          <cell r="K257">
            <v>1.46</v>
          </cell>
          <cell r="M257">
            <v>1.46E-2</v>
          </cell>
        </row>
        <row r="258">
          <cell r="F258" t="str">
            <v>cucumber</v>
          </cell>
          <cell r="H258">
            <v>300</v>
          </cell>
          <cell r="I258" t="str">
            <v>g</v>
          </cell>
          <cell r="J258">
            <v>0.9</v>
          </cell>
          <cell r="K258">
            <v>0.96</v>
          </cell>
          <cell r="M258">
            <v>3.1999999999999997E-3</v>
          </cell>
        </row>
        <row r="259">
          <cell r="F259" t="str">
            <v>cucu dressing</v>
          </cell>
          <cell r="H259">
            <v>1560</v>
          </cell>
          <cell r="I259" t="str">
            <v>g</v>
          </cell>
          <cell r="J259">
            <v>0.95</v>
          </cell>
          <cell r="K259">
            <v>22.536999999999999</v>
          </cell>
          <cell r="M259">
            <v>1.4446794871794871E-2</v>
          </cell>
        </row>
        <row r="260">
          <cell r="F260" t="str">
            <v>Brioche Bun</v>
          </cell>
          <cell r="H260">
            <v>72</v>
          </cell>
          <cell r="I260" t="str">
            <v>ea</v>
          </cell>
          <cell r="J260">
            <v>0.95</v>
          </cell>
          <cell r="K260">
            <v>45.79</v>
          </cell>
          <cell r="M260">
            <v>0.63597222222222216</v>
          </cell>
        </row>
        <row r="261">
          <cell r="F261" t="str">
            <v>Garlic mayo</v>
          </cell>
          <cell r="H261">
            <v>603</v>
          </cell>
          <cell r="I261" t="str">
            <v>g</v>
          </cell>
          <cell r="J261">
            <v>0.95</v>
          </cell>
          <cell r="K261">
            <v>4.423</v>
          </cell>
          <cell r="M261">
            <v>7.3349917081260369E-3</v>
          </cell>
        </row>
        <row r="262">
          <cell r="F262" t="str">
            <v>Mala mayo</v>
          </cell>
          <cell r="H262">
            <v>200</v>
          </cell>
          <cell r="I262" t="str">
            <v>g</v>
          </cell>
          <cell r="J262">
            <v>0.95</v>
          </cell>
          <cell r="K262">
            <v>1.903</v>
          </cell>
          <cell r="M262">
            <v>9.5150000000000009E-3</v>
          </cell>
        </row>
        <row r="263">
          <cell r="F263" t="str">
            <v>bb.q dashi</v>
          </cell>
          <cell r="H263">
            <v>6350</v>
          </cell>
          <cell r="I263" t="str">
            <v>g</v>
          </cell>
          <cell r="J263">
            <v>0.95</v>
          </cell>
          <cell r="K263">
            <v>3.7919999999999998</v>
          </cell>
          <cell r="M263">
            <v>5.9716535433070863E-4</v>
          </cell>
        </row>
        <row r="264">
          <cell r="F264" t="str">
            <v>SEAWEED ROLL</v>
          </cell>
          <cell r="H264">
            <v>400</v>
          </cell>
          <cell r="I264" t="str">
            <v>g</v>
          </cell>
          <cell r="J264">
            <v>1</v>
          </cell>
          <cell r="K264">
            <v>116.86</v>
          </cell>
          <cell r="M264">
            <v>0.29215000000000002</v>
          </cell>
        </row>
        <row r="265">
          <cell r="F265" t="str">
            <v>Dumpling</v>
          </cell>
          <cell r="H265">
            <v>20</v>
          </cell>
          <cell r="I265" t="str">
            <v>g</v>
          </cell>
          <cell r="J265">
            <v>0.95</v>
          </cell>
          <cell r="K265">
            <v>6.82</v>
          </cell>
          <cell r="M265">
            <v>0.34100000000000003</v>
          </cell>
        </row>
        <row r="266">
          <cell r="F266" t="str">
            <v>lemon Wedge</v>
          </cell>
          <cell r="H266">
            <v>8</v>
          </cell>
          <cell r="I266" t="str">
            <v>g</v>
          </cell>
          <cell r="J266">
            <v>0.95</v>
          </cell>
          <cell r="K266">
            <v>0.99</v>
          </cell>
          <cell r="M266">
            <v>0.12375</v>
          </cell>
        </row>
        <row r="267">
          <cell r="F267" t="str">
            <v>Sundubu Sauce</v>
          </cell>
          <cell r="H267">
            <v>341</v>
          </cell>
          <cell r="I267" t="str">
            <v>g</v>
          </cell>
          <cell r="J267">
            <v>0.95</v>
          </cell>
          <cell r="K267">
            <v>8.2436082764060625</v>
          </cell>
          <cell r="M267">
            <v>2.4174804329636548E-2</v>
          </cell>
        </row>
        <row r="268">
          <cell r="F268" t="str">
            <v>Dried anchovy</v>
          </cell>
          <cell r="H268">
            <v>420</v>
          </cell>
          <cell r="I268" t="str">
            <v>g</v>
          </cell>
          <cell r="J268">
            <v>1</v>
          </cell>
          <cell r="K268">
            <v>8.99</v>
          </cell>
          <cell r="M268">
            <v>2.1404761904761906E-2</v>
          </cell>
        </row>
        <row r="269">
          <cell r="F269" t="str">
            <v>Dried kelp</v>
          </cell>
          <cell r="H269">
            <v>114</v>
          </cell>
          <cell r="I269" t="str">
            <v>g</v>
          </cell>
          <cell r="J269">
            <v>1</v>
          </cell>
          <cell r="K269">
            <v>5.99</v>
          </cell>
          <cell r="M269">
            <v>5.2543859649122809E-2</v>
          </cell>
        </row>
        <row r="270">
          <cell r="F270" t="str">
            <v>Soybean Paste</v>
          </cell>
          <cell r="H270">
            <v>500</v>
          </cell>
          <cell r="I270" t="str">
            <v>g</v>
          </cell>
          <cell r="J270">
            <v>0.95</v>
          </cell>
          <cell r="K270">
            <v>6.99</v>
          </cell>
          <cell r="M270">
            <v>1.3980000000000001E-2</v>
          </cell>
        </row>
        <row r="271">
          <cell r="F271" t="str">
            <v>Clam Dasida</v>
          </cell>
          <cell r="H271">
            <v>1000</v>
          </cell>
          <cell r="I271" t="str">
            <v>g</v>
          </cell>
          <cell r="J271">
            <v>0.95</v>
          </cell>
          <cell r="K271">
            <v>23.39</v>
          </cell>
          <cell r="M271">
            <v>2.3390000000000001E-2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Area"/>
      <sheetName val="Market"/>
      <sheetName val="Market Summary"/>
      <sheetName val="Sheet4"/>
      <sheetName val="Market_Summary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价格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0281-120F-4B28-B633-ED53349FAF96}">
  <sheetPr>
    <tabColor theme="4"/>
  </sheetPr>
  <dimension ref="B1:M1000"/>
  <sheetViews>
    <sheetView showGridLines="0" tabSelected="1" workbookViewId="0">
      <selection activeCell="N18" sqref="N18"/>
    </sheetView>
  </sheetViews>
  <sheetFormatPr defaultColWidth="12.5703125" defaultRowHeight="15" customHeight="1" x14ac:dyDescent="0.25"/>
  <cols>
    <col min="1" max="2" width="3.140625" style="1" customWidth="1"/>
    <col min="3" max="3" width="9.7109375" style="1" customWidth="1"/>
    <col min="4" max="4" width="16.42578125" style="1" customWidth="1"/>
    <col min="5" max="5" width="20.28515625" style="1" customWidth="1"/>
    <col min="6" max="7" width="8.7109375" style="1" customWidth="1"/>
    <col min="8" max="10" width="16.28515625" style="1" customWidth="1"/>
    <col min="11" max="12" width="17.7109375" style="1" customWidth="1"/>
    <col min="13" max="13" width="3.140625" style="1" customWidth="1"/>
    <col min="14" max="26" width="8.7109375" style="1" customWidth="1"/>
    <col min="27" max="16384" width="12.5703125" style="1"/>
  </cols>
  <sheetData>
    <row r="1" spans="2:13" ht="16.5" customHeight="1" thickBot="1" x14ac:dyDescent="0.3"/>
    <row r="2" spans="2:13" ht="16.5" customHeight="1" x14ac:dyDescent="0.3">
      <c r="B2" s="37"/>
      <c r="C2" s="36"/>
      <c r="D2" s="36"/>
      <c r="E2" s="36"/>
      <c r="F2" s="36"/>
      <c r="G2" s="36"/>
      <c r="H2" s="36"/>
      <c r="I2" s="36"/>
      <c r="J2" s="36"/>
      <c r="K2" s="36"/>
      <c r="L2" s="35" t="s">
        <v>34</v>
      </c>
      <c r="M2" s="34"/>
    </row>
    <row r="3" spans="2:13" ht="16.5" customHeight="1" x14ac:dyDescent="0.3">
      <c r="B3" s="10"/>
      <c r="C3" s="33" t="s">
        <v>33</v>
      </c>
      <c r="D3" s="31"/>
      <c r="E3" s="31"/>
      <c r="M3" s="5"/>
    </row>
    <row r="4" spans="2:13" ht="16.5" customHeight="1" x14ac:dyDescent="0.3">
      <c r="B4" s="10"/>
      <c r="C4" s="32" t="s">
        <v>32</v>
      </c>
      <c r="D4" s="31"/>
      <c r="E4" s="31"/>
      <c r="M4" s="5"/>
    </row>
    <row r="5" spans="2:13" ht="16.5" customHeight="1" x14ac:dyDescent="0.3">
      <c r="B5" s="10"/>
      <c r="C5" s="30"/>
      <c r="D5" s="30"/>
      <c r="E5" s="30"/>
      <c r="M5" s="5"/>
    </row>
    <row r="6" spans="2:13" ht="19.5" customHeight="1" x14ac:dyDescent="0.3">
      <c r="B6" s="10"/>
      <c r="C6" s="29" t="s">
        <v>31</v>
      </c>
      <c r="D6" s="25" t="s">
        <v>30</v>
      </c>
      <c r="E6" s="6"/>
      <c r="F6" s="24" t="s">
        <v>29</v>
      </c>
      <c r="G6" s="24" t="s">
        <v>13</v>
      </c>
      <c r="H6" s="24" t="s">
        <v>12</v>
      </c>
      <c r="I6" s="24" t="s">
        <v>11</v>
      </c>
      <c r="J6" s="24" t="s">
        <v>10</v>
      </c>
      <c r="K6" s="23" t="s">
        <v>9</v>
      </c>
      <c r="L6" s="23" t="s">
        <v>8</v>
      </c>
      <c r="M6" s="5"/>
    </row>
    <row r="7" spans="2:13" ht="19.5" customHeight="1" x14ac:dyDescent="0.3">
      <c r="B7" s="10"/>
      <c r="C7" s="22">
        <v>1</v>
      </c>
      <c r="D7" s="22" t="s">
        <v>28</v>
      </c>
      <c r="E7" s="22" t="s">
        <v>27</v>
      </c>
      <c r="F7" s="21">
        <v>350</v>
      </c>
      <c r="G7" s="28" t="s">
        <v>20</v>
      </c>
      <c r="H7" s="27">
        <f>VLOOKUP(E7,'[1]Master Price page'!$F$4:$J$500,5,0)</f>
        <v>0.99</v>
      </c>
      <c r="I7" s="26">
        <f>VLOOKUP(E7,'[1]Master Price page'!$F$4:$M$500,8,0)</f>
        <v>3.9000000000000003E-3</v>
      </c>
      <c r="J7" s="20">
        <f>F7/H7</f>
        <v>353.53535353535352</v>
      </c>
      <c r="K7" s="19">
        <f>J7*I7</f>
        <v>1.3787878787878789</v>
      </c>
      <c r="L7" s="15">
        <f>K7/SUM($K$7:$K$11)</f>
        <v>0.67921617028615644</v>
      </c>
      <c r="M7" s="5"/>
    </row>
    <row r="8" spans="2:13" ht="19.5" customHeight="1" x14ac:dyDescent="0.3">
      <c r="B8" s="10"/>
      <c r="C8" s="22">
        <v>2</v>
      </c>
      <c r="D8" s="22" t="s">
        <v>26</v>
      </c>
      <c r="E8" s="22" t="s">
        <v>25</v>
      </c>
      <c r="F8" s="21">
        <v>1</v>
      </c>
      <c r="G8" s="28" t="s">
        <v>20</v>
      </c>
      <c r="H8" s="27">
        <f>VLOOKUP(E8,'[1]Master Price page'!$F$4:$J$500,5,0)</f>
        <v>0.99</v>
      </c>
      <c r="I8" s="26">
        <f>VLOOKUP(E8,'[1]Master Price page'!$F$4:$M$500,8,0)</f>
        <v>5.6400000000000009E-3</v>
      </c>
      <c r="J8" s="20">
        <f>F8/H8</f>
        <v>1.0101010101010102</v>
      </c>
      <c r="K8" s="19">
        <f>J8*I8</f>
        <v>5.6969696969696986E-3</v>
      </c>
      <c r="L8" s="15">
        <f>K8/SUM($K$7:$K$11)</f>
        <v>2.8064316486548888E-3</v>
      </c>
      <c r="M8" s="5"/>
    </row>
    <row r="9" spans="2:13" ht="19.5" customHeight="1" x14ac:dyDescent="0.3">
      <c r="B9" s="10"/>
      <c r="C9" s="22">
        <v>3</v>
      </c>
      <c r="D9" s="22" t="s">
        <v>24</v>
      </c>
      <c r="E9" s="22" t="s">
        <v>23</v>
      </c>
      <c r="F9" s="21">
        <v>1</v>
      </c>
      <c r="G9" s="28" t="s">
        <v>20</v>
      </c>
      <c r="H9" s="27">
        <f>VLOOKUP(E9,'[1]Master Price page'!$F$4:$J$500,5,0)</f>
        <v>0.99</v>
      </c>
      <c r="I9" s="26">
        <f>VLOOKUP(E9,'[1]Master Price page'!$F$4:$M$500,8,0)</f>
        <v>5.6943396226415095E-2</v>
      </c>
      <c r="J9" s="20">
        <f>F9/H9</f>
        <v>1.0101010101010102</v>
      </c>
      <c r="K9" s="19">
        <f>J9*I9</f>
        <v>5.751858204688394E-2</v>
      </c>
      <c r="L9" s="15">
        <f>K9/SUM($K$7:$K$11)</f>
        <v>2.8334707331862882E-2</v>
      </c>
      <c r="M9" s="5"/>
    </row>
    <row r="10" spans="2:13" ht="19.5" customHeight="1" x14ac:dyDescent="0.3">
      <c r="B10" s="10"/>
      <c r="C10" s="22">
        <v>4</v>
      </c>
      <c r="D10" s="22" t="s">
        <v>22</v>
      </c>
      <c r="E10" s="22" t="s">
        <v>21</v>
      </c>
      <c r="F10" s="21">
        <v>15</v>
      </c>
      <c r="G10" s="28" t="s">
        <v>20</v>
      </c>
      <c r="H10" s="27">
        <f>VLOOKUP(E10,'[1]Master Price page'!$F$4:$J$500,5,0)</f>
        <v>0.95</v>
      </c>
      <c r="I10" s="26">
        <f>VLOOKUP(E10,'[1]Master Price page'!$F$4:$M$500,8,0)</f>
        <v>1.3874666666666667E-2</v>
      </c>
      <c r="J10" s="20">
        <f>F10/H10</f>
        <v>15.789473684210527</v>
      </c>
      <c r="K10" s="19">
        <f>J10*I10</f>
        <v>0.21907368421052634</v>
      </c>
      <c r="L10" s="15">
        <f>K10/SUM($K$7:$K$11)</f>
        <v>0.10791971055820732</v>
      </c>
      <c r="M10" s="5"/>
    </row>
    <row r="11" spans="2:13" ht="19.5" customHeight="1" x14ac:dyDescent="0.3">
      <c r="B11" s="10"/>
      <c r="C11" s="22">
        <v>5</v>
      </c>
      <c r="D11" s="22" t="s">
        <v>19</v>
      </c>
      <c r="E11" s="22" t="s">
        <v>18</v>
      </c>
      <c r="F11" s="21">
        <v>105</v>
      </c>
      <c r="G11" s="28" t="s">
        <v>17</v>
      </c>
      <c r="H11" s="27">
        <f>VLOOKUP(E11,'[1]Master Price page'!$F$4:$J$500,5,0)</f>
        <v>0.99</v>
      </c>
      <c r="I11" s="26">
        <f>VLOOKUP(E11,'[1]Master Price page'!$F$4:$M$500,8,0)</f>
        <v>3.4781249999999999E-3</v>
      </c>
      <c r="J11" s="20">
        <f>F11/H11</f>
        <v>106.06060606060606</v>
      </c>
      <c r="K11" s="19">
        <f>J11*I11</f>
        <v>0.36889204545454546</v>
      </c>
      <c r="L11" s="15">
        <f>K11/SUM($K$7:$K$11)</f>
        <v>0.18172298017511829</v>
      </c>
      <c r="M11" s="5"/>
    </row>
    <row r="12" spans="2:13" ht="19.5" customHeight="1" x14ac:dyDescent="0.3">
      <c r="B12" s="10"/>
      <c r="C12" s="18"/>
      <c r="D12" s="8"/>
      <c r="E12" s="8"/>
      <c r="F12" s="8"/>
      <c r="G12" s="8"/>
      <c r="H12" s="8"/>
      <c r="I12" s="6"/>
      <c r="J12" s="17" t="s">
        <v>4</v>
      </c>
      <c r="K12" s="16">
        <f>SUM(K7:K11)</f>
        <v>2.0299691601968046</v>
      </c>
      <c r="L12" s="15">
        <f>K12/SUM($K$7:$K$11)</f>
        <v>1</v>
      </c>
      <c r="M12" s="5"/>
    </row>
    <row r="13" spans="2:13" ht="19.5" customHeight="1" x14ac:dyDescent="0.3">
      <c r="B13" s="10"/>
      <c r="C13" s="24" t="s">
        <v>16</v>
      </c>
      <c r="D13" s="25" t="s">
        <v>15</v>
      </c>
      <c r="E13" s="6"/>
      <c r="F13" s="24" t="s">
        <v>14</v>
      </c>
      <c r="G13" s="24" t="s">
        <v>13</v>
      </c>
      <c r="H13" s="24" t="s">
        <v>12</v>
      </c>
      <c r="I13" s="24" t="s">
        <v>11</v>
      </c>
      <c r="J13" s="24" t="s">
        <v>10</v>
      </c>
      <c r="K13" s="23" t="s">
        <v>9</v>
      </c>
      <c r="L13" s="23" t="s">
        <v>8</v>
      </c>
      <c r="M13" s="5"/>
    </row>
    <row r="14" spans="2:13" ht="19.5" customHeight="1" x14ac:dyDescent="0.3">
      <c r="B14" s="10"/>
      <c r="C14" s="22">
        <v>1</v>
      </c>
      <c r="D14" s="22" t="s">
        <v>7</v>
      </c>
      <c r="E14" s="22" t="s">
        <v>6</v>
      </c>
      <c r="F14" s="21">
        <v>1</v>
      </c>
      <c r="G14" s="21" t="s">
        <v>5</v>
      </c>
      <c r="H14" s="21">
        <v>1</v>
      </c>
      <c r="I14" s="19">
        <v>0.1221</v>
      </c>
      <c r="J14" s="20">
        <f>F14/H14</f>
        <v>1</v>
      </c>
      <c r="K14" s="19">
        <f>J14*I14</f>
        <v>0.1221</v>
      </c>
      <c r="L14" s="15">
        <f>K14/SUM($K$14)</f>
        <v>1</v>
      </c>
      <c r="M14" s="5"/>
    </row>
    <row r="15" spans="2:13" ht="19.5" customHeight="1" x14ac:dyDescent="0.3">
      <c r="B15" s="10"/>
      <c r="C15" s="18"/>
      <c r="D15" s="8"/>
      <c r="E15" s="8"/>
      <c r="F15" s="8"/>
      <c r="G15" s="8"/>
      <c r="H15" s="8"/>
      <c r="I15" s="6"/>
      <c r="J15" s="17" t="s">
        <v>4</v>
      </c>
      <c r="K15" s="16">
        <f>SUM(K14)</f>
        <v>0.1221</v>
      </c>
      <c r="L15" s="15">
        <f>K15/SUM($K$14)</f>
        <v>1</v>
      </c>
      <c r="M15" s="5"/>
    </row>
    <row r="16" spans="2:13" ht="24" customHeight="1" x14ac:dyDescent="0.3">
      <c r="B16" s="10"/>
      <c r="C16" s="14" t="s">
        <v>3</v>
      </c>
      <c r="D16" s="8"/>
      <c r="E16" s="8"/>
      <c r="F16" s="8"/>
      <c r="G16" s="8"/>
      <c r="H16" s="8"/>
      <c r="I16" s="8"/>
      <c r="J16" s="6"/>
      <c r="K16" s="13">
        <f>K15+K12</f>
        <v>2.1520691601968047</v>
      </c>
      <c r="L16" s="6"/>
      <c r="M16" s="5"/>
    </row>
    <row r="17" spans="2:13" ht="24" customHeight="1" x14ac:dyDescent="0.3">
      <c r="B17" s="10"/>
      <c r="C17" s="12" t="s">
        <v>2</v>
      </c>
      <c r="D17" s="8"/>
      <c r="E17" s="8"/>
      <c r="F17" s="8"/>
      <c r="G17" s="8"/>
      <c r="H17" s="8"/>
      <c r="I17" s="8"/>
      <c r="J17" s="6"/>
      <c r="K17" s="11">
        <v>10</v>
      </c>
      <c r="L17" s="6"/>
      <c r="M17" s="5"/>
    </row>
    <row r="18" spans="2:13" ht="24" customHeight="1" x14ac:dyDescent="0.3">
      <c r="B18" s="10"/>
      <c r="C18" s="9" t="s">
        <v>1</v>
      </c>
      <c r="D18" s="8"/>
      <c r="E18" s="8"/>
      <c r="F18" s="8"/>
      <c r="G18" s="8"/>
      <c r="H18" s="8"/>
      <c r="I18" s="8"/>
      <c r="J18" s="6"/>
      <c r="K18" s="7">
        <f>K12/K17</f>
        <v>0.20299691601968045</v>
      </c>
      <c r="L18" s="6"/>
      <c r="M18" s="5"/>
    </row>
    <row r="19" spans="2:13" ht="24" customHeight="1" x14ac:dyDescent="0.3">
      <c r="B19" s="10"/>
      <c r="C19" s="9" t="s">
        <v>0</v>
      </c>
      <c r="D19" s="8"/>
      <c r="E19" s="8"/>
      <c r="F19" s="8"/>
      <c r="G19" s="8"/>
      <c r="H19" s="8"/>
      <c r="I19" s="8"/>
      <c r="J19" s="6"/>
      <c r="K19" s="7">
        <f>K16/K17</f>
        <v>0.21520691601968048</v>
      </c>
      <c r="L19" s="6"/>
      <c r="M19" s="5"/>
    </row>
    <row r="20" spans="2:13" ht="16.5" customHeight="1" thickBot="1" x14ac:dyDescent="0.35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2"/>
    </row>
    <row r="21" spans="2:13" ht="16.5" customHeight="1" x14ac:dyDescent="0.25"/>
    <row r="22" spans="2:13" ht="16.5" customHeight="1" x14ac:dyDescent="0.25"/>
    <row r="23" spans="2:13" ht="16.5" customHeight="1" x14ac:dyDescent="0.25"/>
    <row r="24" spans="2:13" ht="16.5" customHeight="1" x14ac:dyDescent="0.25"/>
    <row r="25" spans="2:13" ht="16.5" customHeight="1" x14ac:dyDescent="0.25"/>
    <row r="26" spans="2:13" ht="16.5" customHeight="1" x14ac:dyDescent="0.25"/>
    <row r="27" spans="2:13" ht="16.5" customHeight="1" x14ac:dyDescent="0.25"/>
    <row r="28" spans="2:13" ht="16.5" customHeight="1" x14ac:dyDescent="0.25"/>
    <row r="29" spans="2:13" ht="16.5" customHeight="1" x14ac:dyDescent="0.25"/>
    <row r="30" spans="2:13" ht="16.5" customHeight="1" x14ac:dyDescent="0.25"/>
    <row r="31" spans="2:13" ht="16.5" customHeight="1" x14ac:dyDescent="0.25"/>
    <row r="32" spans="2:13" ht="16.5" customHeight="1" x14ac:dyDescent="0.25"/>
    <row r="33" s="1" customFormat="1" ht="16.5" customHeight="1" x14ac:dyDescent="0.25"/>
    <row r="34" s="1" customFormat="1" ht="16.5" customHeight="1" x14ac:dyDescent="0.25"/>
    <row r="35" s="1" customFormat="1" ht="16.5" customHeight="1" x14ac:dyDescent="0.25"/>
    <row r="36" s="1" customFormat="1" ht="16.5" customHeight="1" x14ac:dyDescent="0.25"/>
    <row r="37" s="1" customFormat="1" ht="16.5" customHeight="1" x14ac:dyDescent="0.25"/>
    <row r="38" s="1" customFormat="1" ht="16.5" customHeight="1" x14ac:dyDescent="0.25"/>
    <row r="39" s="1" customFormat="1" ht="16.5" customHeight="1" x14ac:dyDescent="0.25"/>
    <row r="40" s="1" customFormat="1" ht="16.5" customHeight="1" x14ac:dyDescent="0.25"/>
    <row r="41" s="1" customFormat="1" ht="16.5" customHeight="1" x14ac:dyDescent="0.25"/>
    <row r="42" s="1" customFormat="1" ht="16.5" customHeight="1" x14ac:dyDescent="0.25"/>
    <row r="43" s="1" customFormat="1" ht="16.5" customHeight="1" x14ac:dyDescent="0.25"/>
    <row r="44" s="1" customFormat="1" ht="16.5" customHeight="1" x14ac:dyDescent="0.25"/>
    <row r="45" s="1" customFormat="1" ht="16.5" customHeight="1" x14ac:dyDescent="0.25"/>
    <row r="46" s="1" customFormat="1" ht="16.5" customHeight="1" x14ac:dyDescent="0.25"/>
    <row r="47" s="1" customFormat="1" ht="16.5" customHeight="1" x14ac:dyDescent="0.25"/>
    <row r="48" s="1" customFormat="1" ht="16.5" customHeight="1" x14ac:dyDescent="0.25"/>
    <row r="49" s="1" customFormat="1" ht="16.5" customHeight="1" x14ac:dyDescent="0.25"/>
    <row r="50" s="1" customFormat="1" ht="16.5" customHeight="1" x14ac:dyDescent="0.25"/>
    <row r="51" s="1" customFormat="1" ht="16.5" customHeight="1" x14ac:dyDescent="0.25"/>
    <row r="52" s="1" customFormat="1" ht="16.5" customHeight="1" x14ac:dyDescent="0.25"/>
    <row r="53" s="1" customFormat="1" ht="16.5" customHeight="1" x14ac:dyDescent="0.25"/>
    <row r="54" s="1" customFormat="1" ht="16.5" customHeight="1" x14ac:dyDescent="0.25"/>
    <row r="55" s="1" customFormat="1" ht="16.5" customHeight="1" x14ac:dyDescent="0.25"/>
    <row r="56" s="1" customFormat="1" ht="16.5" customHeight="1" x14ac:dyDescent="0.25"/>
    <row r="57" s="1" customFormat="1" ht="16.5" customHeight="1" x14ac:dyDescent="0.25"/>
    <row r="58" s="1" customFormat="1" ht="16.5" customHeight="1" x14ac:dyDescent="0.25"/>
    <row r="59" s="1" customFormat="1" ht="16.5" customHeight="1" x14ac:dyDescent="0.25"/>
    <row r="60" s="1" customFormat="1" ht="16.5" customHeight="1" x14ac:dyDescent="0.25"/>
    <row r="61" s="1" customFormat="1" ht="16.5" customHeight="1" x14ac:dyDescent="0.25"/>
    <row r="62" s="1" customFormat="1" ht="16.5" customHeight="1" x14ac:dyDescent="0.25"/>
    <row r="63" s="1" customFormat="1" ht="16.5" customHeight="1" x14ac:dyDescent="0.25"/>
    <row r="64" s="1" customFormat="1" ht="16.5" customHeight="1" x14ac:dyDescent="0.25"/>
    <row r="65" s="1" customFormat="1" ht="16.5" customHeight="1" x14ac:dyDescent="0.25"/>
    <row r="66" s="1" customFormat="1" ht="16.5" customHeight="1" x14ac:dyDescent="0.25"/>
    <row r="67" s="1" customFormat="1" ht="16.5" customHeight="1" x14ac:dyDescent="0.25"/>
    <row r="68" s="1" customFormat="1" ht="16.5" customHeight="1" x14ac:dyDescent="0.25"/>
    <row r="69" s="1" customFormat="1" ht="16.5" customHeight="1" x14ac:dyDescent="0.25"/>
    <row r="70" s="1" customFormat="1" ht="16.5" customHeight="1" x14ac:dyDescent="0.25"/>
    <row r="71" s="1" customFormat="1" ht="16.5" customHeight="1" x14ac:dyDescent="0.25"/>
    <row r="72" s="1" customFormat="1" ht="16.5" customHeight="1" x14ac:dyDescent="0.25"/>
    <row r="73" s="1" customFormat="1" ht="16.5" customHeight="1" x14ac:dyDescent="0.25"/>
    <row r="74" s="1" customFormat="1" ht="16.5" customHeight="1" x14ac:dyDescent="0.25"/>
    <row r="75" s="1" customFormat="1" ht="16.5" customHeight="1" x14ac:dyDescent="0.25"/>
    <row r="76" s="1" customFormat="1" ht="16.5" customHeight="1" x14ac:dyDescent="0.25"/>
    <row r="77" s="1" customFormat="1" ht="16.5" customHeight="1" x14ac:dyDescent="0.25"/>
    <row r="78" s="1" customFormat="1" ht="16.5" customHeight="1" x14ac:dyDescent="0.25"/>
    <row r="79" s="1" customFormat="1" ht="16.5" customHeight="1" x14ac:dyDescent="0.25"/>
    <row r="80" s="1" customFormat="1" ht="16.5" customHeight="1" x14ac:dyDescent="0.25"/>
    <row r="81" s="1" customFormat="1" ht="16.5" customHeight="1" x14ac:dyDescent="0.25"/>
    <row r="82" s="1" customFormat="1" ht="16.5" customHeight="1" x14ac:dyDescent="0.25"/>
    <row r="83" s="1" customFormat="1" ht="16.5" customHeight="1" x14ac:dyDescent="0.25"/>
    <row r="84" s="1" customFormat="1" ht="16.5" customHeight="1" x14ac:dyDescent="0.25"/>
    <row r="85" s="1" customFormat="1" ht="16.5" customHeight="1" x14ac:dyDescent="0.25"/>
    <row r="86" s="1" customFormat="1" ht="16.5" customHeight="1" x14ac:dyDescent="0.25"/>
    <row r="87" s="1" customFormat="1" ht="16.5" customHeight="1" x14ac:dyDescent="0.25"/>
    <row r="88" s="1" customFormat="1" ht="16.5" customHeight="1" x14ac:dyDescent="0.25"/>
    <row r="89" s="1" customFormat="1" ht="16.5" customHeight="1" x14ac:dyDescent="0.25"/>
    <row r="90" s="1" customFormat="1" ht="16.5" customHeight="1" x14ac:dyDescent="0.25"/>
    <row r="91" s="1" customFormat="1" ht="16.5" customHeight="1" x14ac:dyDescent="0.25"/>
    <row r="92" s="1" customFormat="1" ht="16.5" customHeight="1" x14ac:dyDescent="0.25"/>
    <row r="93" s="1" customFormat="1" ht="16.5" customHeight="1" x14ac:dyDescent="0.25"/>
    <row r="94" s="1" customFormat="1" ht="16.5" customHeight="1" x14ac:dyDescent="0.25"/>
    <row r="95" s="1" customFormat="1" ht="16.5" customHeight="1" x14ac:dyDescent="0.25"/>
    <row r="96" s="1" customFormat="1" ht="16.5" customHeight="1" x14ac:dyDescent="0.25"/>
    <row r="97" s="1" customFormat="1" ht="16.5" customHeight="1" x14ac:dyDescent="0.25"/>
    <row r="98" s="1" customFormat="1" ht="16.5" customHeight="1" x14ac:dyDescent="0.25"/>
    <row r="99" s="1" customFormat="1" ht="16.5" customHeight="1" x14ac:dyDescent="0.25"/>
    <row r="100" s="1" customFormat="1" ht="16.5" customHeight="1" x14ac:dyDescent="0.25"/>
    <row r="101" s="1" customFormat="1" ht="16.5" customHeight="1" x14ac:dyDescent="0.25"/>
    <row r="102" s="1" customFormat="1" ht="16.5" customHeight="1" x14ac:dyDescent="0.25"/>
    <row r="103" s="1" customFormat="1" ht="16.5" customHeight="1" x14ac:dyDescent="0.25"/>
    <row r="104" s="1" customFormat="1" ht="16.5" customHeight="1" x14ac:dyDescent="0.25"/>
    <row r="105" s="1" customFormat="1" ht="16.5" customHeight="1" x14ac:dyDescent="0.25"/>
    <row r="106" s="1" customFormat="1" ht="16.5" customHeight="1" x14ac:dyDescent="0.25"/>
    <row r="107" s="1" customFormat="1" ht="16.5" customHeight="1" x14ac:dyDescent="0.25"/>
    <row r="108" s="1" customFormat="1" ht="16.5" customHeight="1" x14ac:dyDescent="0.25"/>
    <row r="109" s="1" customFormat="1" ht="16.5" customHeight="1" x14ac:dyDescent="0.25"/>
    <row r="110" s="1" customFormat="1" ht="16.5" customHeight="1" x14ac:dyDescent="0.25"/>
    <row r="111" s="1" customFormat="1" ht="16.5" customHeight="1" x14ac:dyDescent="0.25"/>
    <row r="112" s="1" customFormat="1" ht="16.5" customHeight="1" x14ac:dyDescent="0.25"/>
    <row r="113" s="1" customFormat="1" ht="16.5" customHeight="1" x14ac:dyDescent="0.25"/>
    <row r="114" s="1" customFormat="1" ht="16.5" customHeight="1" x14ac:dyDescent="0.25"/>
    <row r="115" s="1" customFormat="1" ht="16.5" customHeight="1" x14ac:dyDescent="0.25"/>
    <row r="116" s="1" customFormat="1" ht="16.5" customHeight="1" x14ac:dyDescent="0.25"/>
    <row r="117" s="1" customFormat="1" ht="16.5" customHeight="1" x14ac:dyDescent="0.25"/>
    <row r="118" s="1" customFormat="1" ht="16.5" customHeight="1" x14ac:dyDescent="0.25"/>
    <row r="119" s="1" customFormat="1" ht="16.5" customHeight="1" x14ac:dyDescent="0.25"/>
    <row r="120" s="1" customFormat="1" ht="16.5" customHeight="1" x14ac:dyDescent="0.25"/>
    <row r="121" s="1" customFormat="1" ht="16.5" customHeight="1" x14ac:dyDescent="0.25"/>
    <row r="122" s="1" customFormat="1" ht="16.5" customHeight="1" x14ac:dyDescent="0.25"/>
    <row r="123" s="1" customFormat="1" ht="16.5" customHeight="1" x14ac:dyDescent="0.25"/>
    <row r="124" s="1" customFormat="1" ht="16.5" customHeight="1" x14ac:dyDescent="0.25"/>
    <row r="125" s="1" customFormat="1" ht="16.5" customHeight="1" x14ac:dyDescent="0.25"/>
    <row r="126" s="1" customFormat="1" ht="16.5" customHeight="1" x14ac:dyDescent="0.25"/>
    <row r="127" s="1" customFormat="1" ht="16.5" customHeight="1" x14ac:dyDescent="0.25"/>
    <row r="128" s="1" customFormat="1" ht="16.5" customHeight="1" x14ac:dyDescent="0.25"/>
    <row r="129" s="1" customFormat="1" ht="16.5" customHeight="1" x14ac:dyDescent="0.25"/>
    <row r="130" s="1" customFormat="1" ht="16.5" customHeight="1" x14ac:dyDescent="0.25"/>
    <row r="131" s="1" customFormat="1" ht="16.5" customHeight="1" x14ac:dyDescent="0.25"/>
    <row r="132" s="1" customFormat="1" ht="16.5" customHeight="1" x14ac:dyDescent="0.25"/>
    <row r="133" s="1" customFormat="1" ht="16.5" customHeight="1" x14ac:dyDescent="0.25"/>
    <row r="134" s="1" customFormat="1" ht="16.5" customHeight="1" x14ac:dyDescent="0.25"/>
    <row r="135" s="1" customFormat="1" ht="16.5" customHeight="1" x14ac:dyDescent="0.25"/>
    <row r="136" s="1" customFormat="1" ht="16.5" customHeight="1" x14ac:dyDescent="0.25"/>
    <row r="137" s="1" customFormat="1" ht="16.5" customHeight="1" x14ac:dyDescent="0.25"/>
    <row r="138" s="1" customFormat="1" ht="16.5" customHeight="1" x14ac:dyDescent="0.25"/>
    <row r="139" s="1" customFormat="1" ht="16.5" customHeight="1" x14ac:dyDescent="0.25"/>
    <row r="140" s="1" customFormat="1" ht="16.5" customHeight="1" x14ac:dyDescent="0.25"/>
    <row r="141" s="1" customFormat="1" ht="16.5" customHeight="1" x14ac:dyDescent="0.25"/>
    <row r="142" s="1" customFormat="1" ht="16.5" customHeight="1" x14ac:dyDescent="0.25"/>
    <row r="143" s="1" customFormat="1" ht="16.5" customHeight="1" x14ac:dyDescent="0.25"/>
    <row r="144" s="1" customFormat="1" ht="16.5" customHeight="1" x14ac:dyDescent="0.25"/>
    <row r="145" s="1" customFormat="1" ht="16.5" customHeight="1" x14ac:dyDescent="0.25"/>
    <row r="146" s="1" customFormat="1" ht="16.5" customHeight="1" x14ac:dyDescent="0.25"/>
    <row r="147" s="1" customFormat="1" ht="16.5" customHeight="1" x14ac:dyDescent="0.25"/>
    <row r="148" s="1" customFormat="1" ht="16.5" customHeight="1" x14ac:dyDescent="0.25"/>
    <row r="149" s="1" customFormat="1" ht="16.5" customHeight="1" x14ac:dyDescent="0.25"/>
    <row r="150" s="1" customFormat="1" ht="16.5" customHeight="1" x14ac:dyDescent="0.25"/>
    <row r="151" s="1" customFormat="1" ht="16.5" customHeight="1" x14ac:dyDescent="0.25"/>
    <row r="152" s="1" customFormat="1" ht="16.5" customHeight="1" x14ac:dyDescent="0.25"/>
    <row r="153" s="1" customFormat="1" ht="16.5" customHeight="1" x14ac:dyDescent="0.25"/>
    <row r="154" s="1" customFormat="1" ht="16.5" customHeight="1" x14ac:dyDescent="0.25"/>
    <row r="155" s="1" customFormat="1" ht="16.5" customHeight="1" x14ac:dyDescent="0.25"/>
    <row r="156" s="1" customFormat="1" ht="16.5" customHeight="1" x14ac:dyDescent="0.25"/>
    <row r="157" s="1" customFormat="1" ht="16.5" customHeight="1" x14ac:dyDescent="0.25"/>
    <row r="158" s="1" customFormat="1" ht="16.5" customHeight="1" x14ac:dyDescent="0.25"/>
    <row r="159" s="1" customFormat="1" ht="16.5" customHeight="1" x14ac:dyDescent="0.25"/>
    <row r="160" s="1" customFormat="1" ht="16.5" customHeight="1" x14ac:dyDescent="0.25"/>
    <row r="161" s="1" customFormat="1" ht="16.5" customHeight="1" x14ac:dyDescent="0.25"/>
    <row r="162" s="1" customFormat="1" ht="16.5" customHeight="1" x14ac:dyDescent="0.25"/>
    <row r="163" s="1" customFormat="1" ht="16.5" customHeight="1" x14ac:dyDescent="0.25"/>
    <row r="164" s="1" customFormat="1" ht="16.5" customHeight="1" x14ac:dyDescent="0.25"/>
    <row r="165" s="1" customFormat="1" ht="16.5" customHeight="1" x14ac:dyDescent="0.25"/>
    <row r="166" s="1" customFormat="1" ht="16.5" customHeight="1" x14ac:dyDescent="0.25"/>
    <row r="167" s="1" customFormat="1" ht="16.5" customHeight="1" x14ac:dyDescent="0.25"/>
    <row r="168" s="1" customFormat="1" ht="16.5" customHeight="1" x14ac:dyDescent="0.25"/>
    <row r="169" s="1" customFormat="1" ht="16.5" customHeight="1" x14ac:dyDescent="0.25"/>
    <row r="170" s="1" customFormat="1" ht="16.5" customHeight="1" x14ac:dyDescent="0.25"/>
    <row r="171" s="1" customFormat="1" ht="16.5" customHeight="1" x14ac:dyDescent="0.25"/>
    <row r="172" s="1" customFormat="1" ht="16.5" customHeight="1" x14ac:dyDescent="0.25"/>
    <row r="173" s="1" customFormat="1" ht="16.5" customHeight="1" x14ac:dyDescent="0.25"/>
    <row r="174" s="1" customFormat="1" ht="16.5" customHeight="1" x14ac:dyDescent="0.25"/>
    <row r="175" s="1" customFormat="1" ht="16.5" customHeight="1" x14ac:dyDescent="0.25"/>
    <row r="176" s="1" customFormat="1" ht="16.5" customHeight="1" x14ac:dyDescent="0.25"/>
    <row r="177" s="1" customFormat="1" ht="16.5" customHeight="1" x14ac:dyDescent="0.25"/>
    <row r="178" s="1" customFormat="1" ht="16.5" customHeight="1" x14ac:dyDescent="0.25"/>
    <row r="179" s="1" customFormat="1" ht="16.5" customHeight="1" x14ac:dyDescent="0.25"/>
    <row r="180" s="1" customFormat="1" ht="16.5" customHeight="1" x14ac:dyDescent="0.25"/>
    <row r="181" s="1" customFormat="1" ht="16.5" customHeight="1" x14ac:dyDescent="0.25"/>
    <row r="182" s="1" customFormat="1" ht="16.5" customHeight="1" x14ac:dyDescent="0.25"/>
    <row r="183" s="1" customFormat="1" ht="16.5" customHeight="1" x14ac:dyDescent="0.25"/>
    <row r="184" s="1" customFormat="1" ht="16.5" customHeight="1" x14ac:dyDescent="0.25"/>
    <row r="185" s="1" customFormat="1" ht="16.5" customHeight="1" x14ac:dyDescent="0.25"/>
    <row r="186" s="1" customFormat="1" ht="16.5" customHeight="1" x14ac:dyDescent="0.25"/>
    <row r="187" s="1" customFormat="1" ht="16.5" customHeight="1" x14ac:dyDescent="0.25"/>
    <row r="188" s="1" customFormat="1" ht="16.5" customHeight="1" x14ac:dyDescent="0.25"/>
    <row r="189" s="1" customFormat="1" ht="16.5" customHeight="1" x14ac:dyDescent="0.25"/>
    <row r="190" s="1" customFormat="1" ht="16.5" customHeight="1" x14ac:dyDescent="0.25"/>
    <row r="191" s="1" customFormat="1" ht="16.5" customHeight="1" x14ac:dyDescent="0.25"/>
    <row r="192" s="1" customFormat="1" ht="16.5" customHeight="1" x14ac:dyDescent="0.25"/>
    <row r="193" s="1" customFormat="1" ht="16.5" customHeight="1" x14ac:dyDescent="0.25"/>
    <row r="194" s="1" customFormat="1" ht="16.5" customHeight="1" x14ac:dyDescent="0.25"/>
    <row r="195" s="1" customFormat="1" ht="16.5" customHeight="1" x14ac:dyDescent="0.25"/>
    <row r="196" s="1" customFormat="1" ht="16.5" customHeight="1" x14ac:dyDescent="0.25"/>
    <row r="197" s="1" customFormat="1" ht="16.5" customHeight="1" x14ac:dyDescent="0.25"/>
    <row r="198" s="1" customFormat="1" ht="16.5" customHeight="1" x14ac:dyDescent="0.25"/>
    <row r="199" s="1" customFormat="1" ht="16.5" customHeight="1" x14ac:dyDescent="0.25"/>
    <row r="200" s="1" customFormat="1" ht="16.5" customHeight="1" x14ac:dyDescent="0.25"/>
    <row r="201" s="1" customFormat="1" ht="16.5" customHeight="1" x14ac:dyDescent="0.25"/>
    <row r="202" s="1" customFormat="1" ht="16.5" customHeight="1" x14ac:dyDescent="0.25"/>
    <row r="203" s="1" customFormat="1" ht="16.5" customHeight="1" x14ac:dyDescent="0.25"/>
    <row r="204" s="1" customFormat="1" ht="16.5" customHeight="1" x14ac:dyDescent="0.25"/>
    <row r="205" s="1" customFormat="1" ht="16.5" customHeight="1" x14ac:dyDescent="0.25"/>
    <row r="206" s="1" customFormat="1" ht="16.5" customHeight="1" x14ac:dyDescent="0.25"/>
    <row r="207" s="1" customFormat="1" ht="16.5" customHeight="1" x14ac:dyDescent="0.25"/>
    <row r="208" s="1" customFormat="1" ht="16.5" customHeight="1" x14ac:dyDescent="0.25"/>
    <row r="209" s="1" customFormat="1" ht="16.5" customHeight="1" x14ac:dyDescent="0.25"/>
    <row r="210" s="1" customFormat="1" ht="16.5" customHeight="1" x14ac:dyDescent="0.25"/>
    <row r="211" s="1" customFormat="1" ht="16.5" customHeight="1" x14ac:dyDescent="0.25"/>
    <row r="212" s="1" customFormat="1" ht="16.5" customHeight="1" x14ac:dyDescent="0.25"/>
    <row r="213" s="1" customFormat="1" ht="16.5" customHeight="1" x14ac:dyDescent="0.25"/>
    <row r="214" s="1" customFormat="1" ht="16.5" customHeight="1" x14ac:dyDescent="0.25"/>
    <row r="215" s="1" customFormat="1" ht="16.5" customHeight="1" x14ac:dyDescent="0.25"/>
    <row r="216" s="1" customFormat="1" ht="16.5" customHeight="1" x14ac:dyDescent="0.25"/>
    <row r="217" s="1" customFormat="1" ht="16.5" customHeight="1" x14ac:dyDescent="0.25"/>
    <row r="218" s="1" customFormat="1" ht="16.5" customHeight="1" x14ac:dyDescent="0.25"/>
    <row r="219" s="1" customFormat="1" ht="16.5" customHeight="1" x14ac:dyDescent="0.25"/>
    <row r="220" s="1" customFormat="1" ht="16.5" customHeight="1" x14ac:dyDescent="0.25"/>
    <row r="221" s="1" customFormat="1" ht="16.5" customHeight="1" x14ac:dyDescent="0.25"/>
    <row r="222" s="1" customFormat="1" ht="16.5" customHeight="1" x14ac:dyDescent="0.25"/>
    <row r="223" s="1" customFormat="1" ht="16.5" customHeight="1" x14ac:dyDescent="0.25"/>
    <row r="224" s="1" customFormat="1" ht="16.5" customHeight="1" x14ac:dyDescent="0.25"/>
    <row r="225" s="1" customFormat="1" ht="16.5" customHeight="1" x14ac:dyDescent="0.25"/>
    <row r="226" s="1" customFormat="1" ht="16.5" customHeight="1" x14ac:dyDescent="0.25"/>
    <row r="227" s="1" customFormat="1" ht="16.5" customHeight="1" x14ac:dyDescent="0.25"/>
    <row r="228" s="1" customFormat="1" ht="16.5" customHeight="1" x14ac:dyDescent="0.25"/>
    <row r="229" s="1" customFormat="1" ht="16.5" customHeight="1" x14ac:dyDescent="0.25"/>
    <row r="230" s="1" customFormat="1" ht="16.5" customHeight="1" x14ac:dyDescent="0.25"/>
    <row r="231" s="1" customFormat="1" ht="16.5" customHeight="1" x14ac:dyDescent="0.25"/>
    <row r="232" s="1" customFormat="1" ht="16.5" customHeight="1" x14ac:dyDescent="0.25"/>
    <row r="233" s="1" customFormat="1" ht="16.5" customHeight="1" x14ac:dyDescent="0.25"/>
    <row r="234" s="1" customFormat="1" ht="16.5" customHeight="1" x14ac:dyDescent="0.25"/>
    <row r="235" s="1" customFormat="1" ht="16.5" customHeight="1" x14ac:dyDescent="0.25"/>
    <row r="236" s="1" customFormat="1" ht="16.5" customHeight="1" x14ac:dyDescent="0.25"/>
    <row r="237" s="1" customFormat="1" ht="16.5" customHeight="1" x14ac:dyDescent="0.25"/>
    <row r="238" s="1" customFormat="1" ht="16.5" customHeight="1" x14ac:dyDescent="0.25"/>
    <row r="239" s="1" customFormat="1" ht="16.5" customHeight="1" x14ac:dyDescent="0.25"/>
    <row r="240" s="1" customFormat="1" ht="16.5" customHeight="1" x14ac:dyDescent="0.25"/>
    <row r="241" s="1" customFormat="1" ht="16.5" customHeight="1" x14ac:dyDescent="0.25"/>
    <row r="242" s="1" customFormat="1" ht="16.5" customHeight="1" x14ac:dyDescent="0.25"/>
    <row r="243" s="1" customFormat="1" ht="16.5" customHeight="1" x14ac:dyDescent="0.25"/>
    <row r="244" s="1" customFormat="1" ht="16.5" customHeight="1" x14ac:dyDescent="0.25"/>
    <row r="245" s="1" customFormat="1" ht="16.5" customHeight="1" x14ac:dyDescent="0.25"/>
    <row r="246" s="1" customFormat="1" ht="16.5" customHeight="1" x14ac:dyDescent="0.25"/>
    <row r="247" s="1" customFormat="1" ht="16.5" customHeight="1" x14ac:dyDescent="0.25"/>
    <row r="248" s="1" customFormat="1" ht="16.5" customHeight="1" x14ac:dyDescent="0.25"/>
    <row r="249" s="1" customFormat="1" ht="16.5" customHeight="1" x14ac:dyDescent="0.25"/>
    <row r="250" s="1" customFormat="1" ht="16.5" customHeight="1" x14ac:dyDescent="0.25"/>
    <row r="251" s="1" customFormat="1" ht="16.5" customHeight="1" x14ac:dyDescent="0.25"/>
    <row r="252" s="1" customFormat="1" ht="16.5" customHeight="1" x14ac:dyDescent="0.25"/>
    <row r="253" s="1" customFormat="1" ht="16.5" customHeight="1" x14ac:dyDescent="0.25"/>
    <row r="254" s="1" customFormat="1" ht="16.5" customHeight="1" x14ac:dyDescent="0.25"/>
    <row r="255" s="1" customFormat="1" ht="16.5" customHeight="1" x14ac:dyDescent="0.25"/>
    <row r="256" s="1" customFormat="1" ht="16.5" customHeight="1" x14ac:dyDescent="0.25"/>
    <row r="257" s="1" customFormat="1" ht="16.5" customHeight="1" x14ac:dyDescent="0.25"/>
    <row r="258" s="1" customFormat="1" ht="16.5" customHeight="1" x14ac:dyDescent="0.25"/>
    <row r="259" s="1" customFormat="1" ht="16.5" customHeight="1" x14ac:dyDescent="0.25"/>
    <row r="260" s="1" customFormat="1" ht="16.5" customHeight="1" x14ac:dyDescent="0.25"/>
    <row r="261" s="1" customFormat="1" ht="16.5" customHeight="1" x14ac:dyDescent="0.25"/>
    <row r="262" s="1" customFormat="1" ht="16.5" customHeight="1" x14ac:dyDescent="0.25"/>
    <row r="263" s="1" customFormat="1" ht="16.5" customHeight="1" x14ac:dyDescent="0.25"/>
    <row r="264" s="1" customFormat="1" ht="16.5" customHeight="1" x14ac:dyDescent="0.25"/>
    <row r="265" s="1" customFormat="1" ht="16.5" customHeight="1" x14ac:dyDescent="0.25"/>
    <row r="266" s="1" customFormat="1" ht="16.5" customHeight="1" x14ac:dyDescent="0.25"/>
    <row r="267" s="1" customFormat="1" ht="16.5" customHeight="1" x14ac:dyDescent="0.25"/>
    <row r="268" s="1" customFormat="1" ht="16.5" customHeight="1" x14ac:dyDescent="0.25"/>
    <row r="269" s="1" customFormat="1" ht="16.5" customHeight="1" x14ac:dyDescent="0.25"/>
    <row r="270" s="1" customFormat="1" ht="16.5" customHeight="1" x14ac:dyDescent="0.25"/>
    <row r="271" s="1" customFormat="1" ht="16.5" customHeight="1" x14ac:dyDescent="0.25"/>
    <row r="272" s="1" customFormat="1" ht="16.5" customHeight="1" x14ac:dyDescent="0.25"/>
    <row r="273" s="1" customFormat="1" ht="16.5" customHeight="1" x14ac:dyDescent="0.25"/>
    <row r="274" s="1" customFormat="1" ht="16.5" customHeight="1" x14ac:dyDescent="0.25"/>
    <row r="275" s="1" customFormat="1" ht="16.5" customHeight="1" x14ac:dyDescent="0.25"/>
    <row r="276" s="1" customFormat="1" ht="16.5" customHeight="1" x14ac:dyDescent="0.25"/>
    <row r="277" s="1" customFormat="1" ht="16.5" customHeight="1" x14ac:dyDescent="0.25"/>
    <row r="278" s="1" customFormat="1" ht="16.5" customHeight="1" x14ac:dyDescent="0.25"/>
    <row r="279" s="1" customFormat="1" ht="16.5" customHeight="1" x14ac:dyDescent="0.25"/>
    <row r="280" s="1" customFormat="1" ht="16.5" customHeight="1" x14ac:dyDescent="0.25"/>
    <row r="281" s="1" customFormat="1" ht="16.5" customHeight="1" x14ac:dyDescent="0.25"/>
    <row r="282" s="1" customFormat="1" ht="16.5" customHeight="1" x14ac:dyDescent="0.25"/>
    <row r="283" s="1" customFormat="1" ht="16.5" customHeight="1" x14ac:dyDescent="0.25"/>
    <row r="284" s="1" customFormat="1" ht="16.5" customHeight="1" x14ac:dyDescent="0.25"/>
    <row r="285" s="1" customFormat="1" ht="16.5" customHeight="1" x14ac:dyDescent="0.25"/>
    <row r="286" s="1" customFormat="1" ht="16.5" customHeight="1" x14ac:dyDescent="0.25"/>
    <row r="287" s="1" customFormat="1" ht="16.5" customHeight="1" x14ac:dyDescent="0.25"/>
    <row r="288" s="1" customFormat="1" ht="16.5" customHeight="1" x14ac:dyDescent="0.25"/>
    <row r="289" s="1" customFormat="1" ht="16.5" customHeight="1" x14ac:dyDescent="0.25"/>
    <row r="290" s="1" customFormat="1" ht="16.5" customHeight="1" x14ac:dyDescent="0.25"/>
    <row r="291" s="1" customFormat="1" ht="16.5" customHeight="1" x14ac:dyDescent="0.25"/>
    <row r="292" s="1" customFormat="1" ht="16.5" customHeight="1" x14ac:dyDescent="0.25"/>
    <row r="293" s="1" customFormat="1" ht="16.5" customHeight="1" x14ac:dyDescent="0.25"/>
    <row r="294" s="1" customFormat="1" ht="16.5" customHeight="1" x14ac:dyDescent="0.25"/>
    <row r="295" s="1" customFormat="1" ht="16.5" customHeight="1" x14ac:dyDescent="0.25"/>
    <row r="296" s="1" customFormat="1" ht="16.5" customHeight="1" x14ac:dyDescent="0.25"/>
    <row r="297" s="1" customFormat="1" ht="16.5" customHeight="1" x14ac:dyDescent="0.25"/>
    <row r="298" s="1" customFormat="1" ht="16.5" customHeight="1" x14ac:dyDescent="0.25"/>
    <row r="299" s="1" customFormat="1" ht="16.5" customHeight="1" x14ac:dyDescent="0.25"/>
    <row r="300" s="1" customFormat="1" ht="16.5" customHeight="1" x14ac:dyDescent="0.25"/>
    <row r="301" s="1" customFormat="1" ht="16.5" customHeight="1" x14ac:dyDescent="0.25"/>
    <row r="302" s="1" customFormat="1" ht="16.5" customHeight="1" x14ac:dyDescent="0.25"/>
    <row r="303" s="1" customFormat="1" ht="16.5" customHeight="1" x14ac:dyDescent="0.25"/>
    <row r="304" s="1" customFormat="1" ht="16.5" customHeight="1" x14ac:dyDescent="0.25"/>
    <row r="305" s="1" customFormat="1" ht="16.5" customHeight="1" x14ac:dyDescent="0.25"/>
    <row r="306" s="1" customFormat="1" ht="16.5" customHeight="1" x14ac:dyDescent="0.25"/>
    <row r="307" s="1" customFormat="1" ht="16.5" customHeight="1" x14ac:dyDescent="0.25"/>
    <row r="308" s="1" customFormat="1" ht="16.5" customHeight="1" x14ac:dyDescent="0.25"/>
    <row r="309" s="1" customFormat="1" ht="16.5" customHeight="1" x14ac:dyDescent="0.25"/>
    <row r="310" s="1" customFormat="1" ht="16.5" customHeight="1" x14ac:dyDescent="0.25"/>
    <row r="311" s="1" customFormat="1" ht="16.5" customHeight="1" x14ac:dyDescent="0.25"/>
    <row r="312" s="1" customFormat="1" ht="16.5" customHeight="1" x14ac:dyDescent="0.25"/>
    <row r="313" s="1" customFormat="1" ht="16.5" customHeight="1" x14ac:dyDescent="0.25"/>
    <row r="314" s="1" customFormat="1" ht="16.5" customHeight="1" x14ac:dyDescent="0.25"/>
    <row r="315" s="1" customFormat="1" ht="16.5" customHeight="1" x14ac:dyDescent="0.25"/>
    <row r="316" s="1" customFormat="1" ht="16.5" customHeight="1" x14ac:dyDescent="0.25"/>
    <row r="317" s="1" customFormat="1" ht="16.5" customHeight="1" x14ac:dyDescent="0.25"/>
    <row r="318" s="1" customFormat="1" ht="16.5" customHeight="1" x14ac:dyDescent="0.25"/>
    <row r="319" s="1" customFormat="1" ht="16.5" customHeight="1" x14ac:dyDescent="0.25"/>
    <row r="320" s="1" customFormat="1" ht="16.5" customHeight="1" x14ac:dyDescent="0.25"/>
    <row r="321" s="1" customFormat="1" ht="16.5" customHeight="1" x14ac:dyDescent="0.25"/>
    <row r="322" s="1" customFormat="1" ht="16.5" customHeight="1" x14ac:dyDescent="0.25"/>
    <row r="323" s="1" customFormat="1" ht="16.5" customHeight="1" x14ac:dyDescent="0.25"/>
    <row r="324" s="1" customFormat="1" ht="16.5" customHeight="1" x14ac:dyDescent="0.25"/>
    <row r="325" s="1" customFormat="1" ht="16.5" customHeight="1" x14ac:dyDescent="0.25"/>
    <row r="326" s="1" customFormat="1" ht="16.5" customHeight="1" x14ac:dyDescent="0.25"/>
    <row r="327" s="1" customFormat="1" ht="16.5" customHeight="1" x14ac:dyDescent="0.25"/>
    <row r="328" s="1" customFormat="1" ht="16.5" customHeight="1" x14ac:dyDescent="0.25"/>
    <row r="329" s="1" customFormat="1" ht="16.5" customHeight="1" x14ac:dyDescent="0.25"/>
    <row r="330" s="1" customFormat="1" ht="16.5" customHeight="1" x14ac:dyDescent="0.25"/>
    <row r="331" s="1" customFormat="1" ht="16.5" customHeight="1" x14ac:dyDescent="0.25"/>
    <row r="332" s="1" customFormat="1" ht="16.5" customHeight="1" x14ac:dyDescent="0.25"/>
    <row r="333" s="1" customFormat="1" ht="16.5" customHeight="1" x14ac:dyDescent="0.25"/>
    <row r="334" s="1" customFormat="1" ht="16.5" customHeight="1" x14ac:dyDescent="0.25"/>
    <row r="335" s="1" customFormat="1" ht="16.5" customHeight="1" x14ac:dyDescent="0.25"/>
    <row r="336" s="1" customFormat="1" ht="16.5" customHeight="1" x14ac:dyDescent="0.25"/>
    <row r="337" s="1" customFormat="1" ht="16.5" customHeight="1" x14ac:dyDescent="0.25"/>
    <row r="338" s="1" customFormat="1" ht="16.5" customHeight="1" x14ac:dyDescent="0.25"/>
    <row r="339" s="1" customFormat="1" ht="16.5" customHeight="1" x14ac:dyDescent="0.25"/>
    <row r="340" s="1" customFormat="1" ht="16.5" customHeight="1" x14ac:dyDescent="0.25"/>
    <row r="341" s="1" customFormat="1" ht="16.5" customHeight="1" x14ac:dyDescent="0.25"/>
    <row r="342" s="1" customFormat="1" ht="16.5" customHeight="1" x14ac:dyDescent="0.25"/>
    <row r="343" s="1" customFormat="1" ht="16.5" customHeight="1" x14ac:dyDescent="0.25"/>
    <row r="344" s="1" customFormat="1" ht="16.5" customHeight="1" x14ac:dyDescent="0.25"/>
    <row r="345" s="1" customFormat="1" ht="16.5" customHeight="1" x14ac:dyDescent="0.25"/>
    <row r="346" s="1" customFormat="1" ht="16.5" customHeight="1" x14ac:dyDescent="0.25"/>
    <row r="347" s="1" customFormat="1" ht="16.5" customHeight="1" x14ac:dyDescent="0.25"/>
    <row r="348" s="1" customFormat="1" ht="16.5" customHeight="1" x14ac:dyDescent="0.25"/>
    <row r="349" s="1" customFormat="1" ht="16.5" customHeight="1" x14ac:dyDescent="0.25"/>
    <row r="350" s="1" customFormat="1" ht="16.5" customHeight="1" x14ac:dyDescent="0.25"/>
    <row r="351" s="1" customFormat="1" ht="16.5" customHeight="1" x14ac:dyDescent="0.25"/>
    <row r="352" s="1" customFormat="1" ht="16.5" customHeight="1" x14ac:dyDescent="0.25"/>
    <row r="353" s="1" customFormat="1" ht="16.5" customHeight="1" x14ac:dyDescent="0.25"/>
    <row r="354" s="1" customFormat="1" ht="16.5" customHeight="1" x14ac:dyDescent="0.25"/>
    <row r="355" s="1" customFormat="1" ht="16.5" customHeight="1" x14ac:dyDescent="0.25"/>
    <row r="356" s="1" customFormat="1" ht="16.5" customHeight="1" x14ac:dyDescent="0.25"/>
    <row r="357" s="1" customFormat="1" ht="16.5" customHeight="1" x14ac:dyDescent="0.25"/>
    <row r="358" s="1" customFormat="1" ht="16.5" customHeight="1" x14ac:dyDescent="0.25"/>
    <row r="359" s="1" customFormat="1" ht="16.5" customHeight="1" x14ac:dyDescent="0.25"/>
    <row r="360" s="1" customFormat="1" ht="16.5" customHeight="1" x14ac:dyDescent="0.25"/>
    <row r="361" s="1" customFormat="1" ht="16.5" customHeight="1" x14ac:dyDescent="0.25"/>
    <row r="362" s="1" customFormat="1" ht="16.5" customHeight="1" x14ac:dyDescent="0.25"/>
    <row r="363" s="1" customFormat="1" ht="16.5" customHeight="1" x14ac:dyDescent="0.25"/>
    <row r="364" s="1" customFormat="1" ht="16.5" customHeight="1" x14ac:dyDescent="0.25"/>
    <row r="365" s="1" customFormat="1" ht="16.5" customHeight="1" x14ac:dyDescent="0.25"/>
    <row r="366" s="1" customFormat="1" ht="16.5" customHeight="1" x14ac:dyDescent="0.25"/>
    <row r="367" s="1" customFormat="1" ht="16.5" customHeight="1" x14ac:dyDescent="0.25"/>
    <row r="368" s="1" customFormat="1" ht="16.5" customHeight="1" x14ac:dyDescent="0.25"/>
    <row r="369" s="1" customFormat="1" ht="16.5" customHeight="1" x14ac:dyDescent="0.25"/>
    <row r="370" s="1" customFormat="1" ht="16.5" customHeight="1" x14ac:dyDescent="0.25"/>
    <row r="371" s="1" customFormat="1" ht="16.5" customHeight="1" x14ac:dyDescent="0.25"/>
    <row r="372" s="1" customFormat="1" ht="16.5" customHeight="1" x14ac:dyDescent="0.25"/>
    <row r="373" s="1" customFormat="1" ht="16.5" customHeight="1" x14ac:dyDescent="0.25"/>
    <row r="374" s="1" customFormat="1" ht="16.5" customHeight="1" x14ac:dyDescent="0.25"/>
    <row r="375" s="1" customFormat="1" ht="16.5" customHeight="1" x14ac:dyDescent="0.25"/>
    <row r="376" s="1" customFormat="1" ht="16.5" customHeight="1" x14ac:dyDescent="0.25"/>
    <row r="377" s="1" customFormat="1" ht="16.5" customHeight="1" x14ac:dyDescent="0.25"/>
    <row r="378" s="1" customFormat="1" ht="16.5" customHeight="1" x14ac:dyDescent="0.25"/>
    <row r="379" s="1" customFormat="1" ht="16.5" customHeight="1" x14ac:dyDescent="0.25"/>
    <row r="380" s="1" customFormat="1" ht="16.5" customHeight="1" x14ac:dyDescent="0.25"/>
    <row r="381" s="1" customFormat="1" ht="16.5" customHeight="1" x14ac:dyDescent="0.25"/>
    <row r="382" s="1" customFormat="1" ht="16.5" customHeight="1" x14ac:dyDescent="0.25"/>
    <row r="383" s="1" customFormat="1" ht="16.5" customHeight="1" x14ac:dyDescent="0.25"/>
    <row r="384" s="1" customFormat="1" ht="16.5" customHeight="1" x14ac:dyDescent="0.25"/>
    <row r="385" s="1" customFormat="1" ht="16.5" customHeight="1" x14ac:dyDescent="0.25"/>
    <row r="386" s="1" customFormat="1" ht="16.5" customHeight="1" x14ac:dyDescent="0.25"/>
    <row r="387" s="1" customFormat="1" ht="16.5" customHeight="1" x14ac:dyDescent="0.25"/>
    <row r="388" s="1" customFormat="1" ht="16.5" customHeight="1" x14ac:dyDescent="0.25"/>
    <row r="389" s="1" customFormat="1" ht="16.5" customHeight="1" x14ac:dyDescent="0.25"/>
    <row r="390" s="1" customFormat="1" ht="16.5" customHeight="1" x14ac:dyDescent="0.25"/>
    <row r="391" s="1" customFormat="1" ht="16.5" customHeight="1" x14ac:dyDescent="0.25"/>
    <row r="392" s="1" customFormat="1" ht="16.5" customHeight="1" x14ac:dyDescent="0.25"/>
    <row r="393" s="1" customFormat="1" ht="16.5" customHeight="1" x14ac:dyDescent="0.25"/>
    <row r="394" s="1" customFormat="1" ht="16.5" customHeight="1" x14ac:dyDescent="0.25"/>
    <row r="395" s="1" customFormat="1" ht="16.5" customHeight="1" x14ac:dyDescent="0.25"/>
    <row r="396" s="1" customFormat="1" ht="16.5" customHeight="1" x14ac:dyDescent="0.25"/>
    <row r="397" s="1" customFormat="1" ht="16.5" customHeight="1" x14ac:dyDescent="0.25"/>
    <row r="398" s="1" customFormat="1" ht="16.5" customHeight="1" x14ac:dyDescent="0.25"/>
    <row r="399" s="1" customFormat="1" ht="16.5" customHeight="1" x14ac:dyDescent="0.25"/>
    <row r="400" s="1" customFormat="1" ht="16.5" customHeight="1" x14ac:dyDescent="0.25"/>
    <row r="401" s="1" customFormat="1" ht="16.5" customHeight="1" x14ac:dyDescent="0.25"/>
    <row r="402" s="1" customFormat="1" ht="16.5" customHeight="1" x14ac:dyDescent="0.25"/>
    <row r="403" s="1" customFormat="1" ht="16.5" customHeight="1" x14ac:dyDescent="0.25"/>
    <row r="404" s="1" customFormat="1" ht="16.5" customHeight="1" x14ac:dyDescent="0.25"/>
    <row r="405" s="1" customFormat="1" ht="16.5" customHeight="1" x14ac:dyDescent="0.25"/>
    <row r="406" s="1" customFormat="1" ht="16.5" customHeight="1" x14ac:dyDescent="0.25"/>
    <row r="407" s="1" customFormat="1" ht="16.5" customHeight="1" x14ac:dyDescent="0.25"/>
    <row r="408" s="1" customFormat="1" ht="16.5" customHeight="1" x14ac:dyDescent="0.25"/>
    <row r="409" s="1" customFormat="1" ht="16.5" customHeight="1" x14ac:dyDescent="0.25"/>
    <row r="410" s="1" customFormat="1" ht="16.5" customHeight="1" x14ac:dyDescent="0.25"/>
    <row r="411" s="1" customFormat="1" ht="16.5" customHeight="1" x14ac:dyDescent="0.25"/>
    <row r="412" s="1" customFormat="1" ht="16.5" customHeight="1" x14ac:dyDescent="0.25"/>
    <row r="413" s="1" customFormat="1" ht="16.5" customHeight="1" x14ac:dyDescent="0.25"/>
    <row r="414" s="1" customFormat="1" ht="16.5" customHeight="1" x14ac:dyDescent="0.25"/>
    <row r="415" s="1" customFormat="1" ht="16.5" customHeight="1" x14ac:dyDescent="0.25"/>
    <row r="416" s="1" customFormat="1" ht="16.5" customHeight="1" x14ac:dyDescent="0.25"/>
    <row r="417" s="1" customFormat="1" ht="16.5" customHeight="1" x14ac:dyDescent="0.25"/>
    <row r="418" s="1" customFormat="1" ht="16.5" customHeight="1" x14ac:dyDescent="0.25"/>
    <row r="419" s="1" customFormat="1" ht="16.5" customHeight="1" x14ac:dyDescent="0.25"/>
    <row r="420" s="1" customFormat="1" ht="16.5" customHeight="1" x14ac:dyDescent="0.25"/>
    <row r="421" s="1" customFormat="1" ht="16.5" customHeight="1" x14ac:dyDescent="0.25"/>
    <row r="422" s="1" customFormat="1" ht="16.5" customHeight="1" x14ac:dyDescent="0.25"/>
    <row r="423" s="1" customFormat="1" ht="16.5" customHeight="1" x14ac:dyDescent="0.25"/>
    <row r="424" s="1" customFormat="1" ht="16.5" customHeight="1" x14ac:dyDescent="0.25"/>
    <row r="425" s="1" customFormat="1" ht="16.5" customHeight="1" x14ac:dyDescent="0.25"/>
    <row r="426" s="1" customFormat="1" ht="16.5" customHeight="1" x14ac:dyDescent="0.25"/>
    <row r="427" s="1" customFormat="1" ht="16.5" customHeight="1" x14ac:dyDescent="0.25"/>
    <row r="428" s="1" customFormat="1" ht="16.5" customHeight="1" x14ac:dyDescent="0.25"/>
    <row r="429" s="1" customFormat="1" ht="16.5" customHeight="1" x14ac:dyDescent="0.25"/>
    <row r="430" s="1" customFormat="1" ht="16.5" customHeight="1" x14ac:dyDescent="0.25"/>
    <row r="431" s="1" customFormat="1" ht="16.5" customHeight="1" x14ac:dyDescent="0.25"/>
    <row r="432" s="1" customFormat="1" ht="16.5" customHeight="1" x14ac:dyDescent="0.25"/>
    <row r="433" s="1" customFormat="1" ht="16.5" customHeight="1" x14ac:dyDescent="0.25"/>
    <row r="434" s="1" customFormat="1" ht="16.5" customHeight="1" x14ac:dyDescent="0.25"/>
    <row r="435" s="1" customFormat="1" ht="16.5" customHeight="1" x14ac:dyDescent="0.25"/>
    <row r="436" s="1" customFormat="1" ht="16.5" customHeight="1" x14ac:dyDescent="0.25"/>
    <row r="437" s="1" customFormat="1" ht="16.5" customHeight="1" x14ac:dyDescent="0.25"/>
    <row r="438" s="1" customFormat="1" ht="16.5" customHeight="1" x14ac:dyDescent="0.25"/>
    <row r="439" s="1" customFormat="1" ht="16.5" customHeight="1" x14ac:dyDescent="0.25"/>
    <row r="440" s="1" customFormat="1" ht="16.5" customHeight="1" x14ac:dyDescent="0.25"/>
    <row r="441" s="1" customFormat="1" ht="16.5" customHeight="1" x14ac:dyDescent="0.25"/>
    <row r="442" s="1" customFormat="1" ht="16.5" customHeight="1" x14ac:dyDescent="0.25"/>
    <row r="443" s="1" customFormat="1" ht="16.5" customHeight="1" x14ac:dyDescent="0.25"/>
    <row r="444" s="1" customFormat="1" ht="16.5" customHeight="1" x14ac:dyDescent="0.25"/>
    <row r="445" s="1" customFormat="1" ht="16.5" customHeight="1" x14ac:dyDescent="0.25"/>
    <row r="446" s="1" customFormat="1" ht="16.5" customHeight="1" x14ac:dyDescent="0.25"/>
    <row r="447" s="1" customFormat="1" ht="16.5" customHeight="1" x14ac:dyDescent="0.25"/>
    <row r="448" s="1" customFormat="1" ht="16.5" customHeight="1" x14ac:dyDescent="0.25"/>
    <row r="449" s="1" customFormat="1" ht="16.5" customHeight="1" x14ac:dyDescent="0.25"/>
    <row r="450" s="1" customFormat="1" ht="16.5" customHeight="1" x14ac:dyDescent="0.25"/>
    <row r="451" s="1" customFormat="1" ht="16.5" customHeight="1" x14ac:dyDescent="0.25"/>
    <row r="452" s="1" customFormat="1" ht="16.5" customHeight="1" x14ac:dyDescent="0.25"/>
    <row r="453" s="1" customFormat="1" ht="16.5" customHeight="1" x14ac:dyDescent="0.25"/>
    <row r="454" s="1" customFormat="1" ht="16.5" customHeight="1" x14ac:dyDescent="0.25"/>
    <row r="455" s="1" customFormat="1" ht="16.5" customHeight="1" x14ac:dyDescent="0.25"/>
    <row r="456" s="1" customFormat="1" ht="16.5" customHeight="1" x14ac:dyDescent="0.25"/>
    <row r="457" s="1" customFormat="1" ht="16.5" customHeight="1" x14ac:dyDescent="0.25"/>
    <row r="458" s="1" customFormat="1" ht="16.5" customHeight="1" x14ac:dyDescent="0.25"/>
    <row r="459" s="1" customFormat="1" ht="16.5" customHeight="1" x14ac:dyDescent="0.25"/>
    <row r="460" s="1" customFormat="1" ht="16.5" customHeight="1" x14ac:dyDescent="0.25"/>
    <row r="461" s="1" customFormat="1" ht="16.5" customHeight="1" x14ac:dyDescent="0.25"/>
    <row r="462" s="1" customFormat="1" ht="16.5" customHeight="1" x14ac:dyDescent="0.25"/>
    <row r="463" s="1" customFormat="1" ht="16.5" customHeight="1" x14ac:dyDescent="0.25"/>
    <row r="464" s="1" customFormat="1" ht="16.5" customHeight="1" x14ac:dyDescent="0.25"/>
    <row r="465" s="1" customFormat="1" ht="16.5" customHeight="1" x14ac:dyDescent="0.25"/>
    <row r="466" s="1" customFormat="1" ht="16.5" customHeight="1" x14ac:dyDescent="0.25"/>
    <row r="467" s="1" customFormat="1" ht="16.5" customHeight="1" x14ac:dyDescent="0.25"/>
    <row r="468" s="1" customFormat="1" ht="16.5" customHeight="1" x14ac:dyDescent="0.25"/>
    <row r="469" s="1" customFormat="1" ht="16.5" customHeight="1" x14ac:dyDescent="0.25"/>
    <row r="470" s="1" customFormat="1" ht="16.5" customHeight="1" x14ac:dyDescent="0.25"/>
    <row r="471" s="1" customFormat="1" ht="16.5" customHeight="1" x14ac:dyDescent="0.25"/>
    <row r="472" s="1" customFormat="1" ht="16.5" customHeight="1" x14ac:dyDescent="0.25"/>
    <row r="473" s="1" customFormat="1" ht="16.5" customHeight="1" x14ac:dyDescent="0.25"/>
    <row r="474" s="1" customFormat="1" ht="16.5" customHeight="1" x14ac:dyDescent="0.25"/>
    <row r="475" s="1" customFormat="1" ht="16.5" customHeight="1" x14ac:dyDescent="0.25"/>
    <row r="476" s="1" customFormat="1" ht="16.5" customHeight="1" x14ac:dyDescent="0.25"/>
    <row r="477" s="1" customFormat="1" ht="16.5" customHeight="1" x14ac:dyDescent="0.25"/>
    <row r="478" s="1" customFormat="1" ht="16.5" customHeight="1" x14ac:dyDescent="0.25"/>
    <row r="479" s="1" customFormat="1" ht="16.5" customHeight="1" x14ac:dyDescent="0.25"/>
    <row r="480" s="1" customFormat="1" ht="16.5" customHeight="1" x14ac:dyDescent="0.25"/>
    <row r="481" s="1" customFormat="1" ht="16.5" customHeight="1" x14ac:dyDescent="0.25"/>
    <row r="482" s="1" customFormat="1" ht="16.5" customHeight="1" x14ac:dyDescent="0.25"/>
    <row r="483" s="1" customFormat="1" ht="16.5" customHeight="1" x14ac:dyDescent="0.25"/>
    <row r="484" s="1" customFormat="1" ht="16.5" customHeight="1" x14ac:dyDescent="0.25"/>
    <row r="485" s="1" customFormat="1" ht="16.5" customHeight="1" x14ac:dyDescent="0.25"/>
    <row r="486" s="1" customFormat="1" ht="16.5" customHeight="1" x14ac:dyDescent="0.25"/>
    <row r="487" s="1" customFormat="1" ht="16.5" customHeight="1" x14ac:dyDescent="0.25"/>
    <row r="488" s="1" customFormat="1" ht="16.5" customHeight="1" x14ac:dyDescent="0.25"/>
    <row r="489" s="1" customFormat="1" ht="16.5" customHeight="1" x14ac:dyDescent="0.25"/>
    <row r="490" s="1" customFormat="1" ht="16.5" customHeight="1" x14ac:dyDescent="0.25"/>
    <row r="491" s="1" customFormat="1" ht="16.5" customHeight="1" x14ac:dyDescent="0.25"/>
    <row r="492" s="1" customFormat="1" ht="16.5" customHeight="1" x14ac:dyDescent="0.25"/>
    <row r="493" s="1" customFormat="1" ht="16.5" customHeight="1" x14ac:dyDescent="0.25"/>
    <row r="494" s="1" customFormat="1" ht="16.5" customHeight="1" x14ac:dyDescent="0.25"/>
    <row r="495" s="1" customFormat="1" ht="16.5" customHeight="1" x14ac:dyDescent="0.25"/>
    <row r="496" s="1" customFormat="1" ht="16.5" customHeight="1" x14ac:dyDescent="0.25"/>
    <row r="497" s="1" customFormat="1" ht="16.5" customHeight="1" x14ac:dyDescent="0.25"/>
    <row r="498" s="1" customFormat="1" ht="16.5" customHeight="1" x14ac:dyDescent="0.25"/>
    <row r="499" s="1" customFormat="1" ht="16.5" customHeight="1" x14ac:dyDescent="0.25"/>
    <row r="500" s="1" customFormat="1" ht="16.5" customHeight="1" x14ac:dyDescent="0.25"/>
    <row r="501" s="1" customFormat="1" ht="16.5" customHeight="1" x14ac:dyDescent="0.25"/>
    <row r="502" s="1" customFormat="1" ht="16.5" customHeight="1" x14ac:dyDescent="0.25"/>
    <row r="503" s="1" customFormat="1" ht="16.5" customHeight="1" x14ac:dyDescent="0.25"/>
    <row r="504" s="1" customFormat="1" ht="16.5" customHeight="1" x14ac:dyDescent="0.25"/>
    <row r="505" s="1" customFormat="1" ht="16.5" customHeight="1" x14ac:dyDescent="0.25"/>
    <row r="506" s="1" customFormat="1" ht="16.5" customHeight="1" x14ac:dyDescent="0.25"/>
    <row r="507" s="1" customFormat="1" ht="16.5" customHeight="1" x14ac:dyDescent="0.25"/>
    <row r="508" s="1" customFormat="1" ht="16.5" customHeight="1" x14ac:dyDescent="0.25"/>
    <row r="509" s="1" customFormat="1" ht="16.5" customHeight="1" x14ac:dyDescent="0.25"/>
    <row r="510" s="1" customFormat="1" ht="16.5" customHeight="1" x14ac:dyDescent="0.25"/>
    <row r="511" s="1" customFormat="1" ht="16.5" customHeight="1" x14ac:dyDescent="0.25"/>
    <row r="512" s="1" customFormat="1" ht="16.5" customHeight="1" x14ac:dyDescent="0.25"/>
    <row r="513" s="1" customFormat="1" ht="16.5" customHeight="1" x14ac:dyDescent="0.25"/>
    <row r="514" s="1" customFormat="1" ht="16.5" customHeight="1" x14ac:dyDescent="0.25"/>
    <row r="515" s="1" customFormat="1" ht="16.5" customHeight="1" x14ac:dyDescent="0.25"/>
    <row r="516" s="1" customFormat="1" ht="16.5" customHeight="1" x14ac:dyDescent="0.25"/>
    <row r="517" s="1" customFormat="1" ht="16.5" customHeight="1" x14ac:dyDescent="0.25"/>
    <row r="518" s="1" customFormat="1" ht="16.5" customHeight="1" x14ac:dyDescent="0.25"/>
    <row r="519" s="1" customFormat="1" ht="16.5" customHeight="1" x14ac:dyDescent="0.25"/>
    <row r="520" s="1" customFormat="1" ht="16.5" customHeight="1" x14ac:dyDescent="0.25"/>
    <row r="521" s="1" customFormat="1" ht="16.5" customHeight="1" x14ac:dyDescent="0.25"/>
    <row r="522" s="1" customFormat="1" ht="16.5" customHeight="1" x14ac:dyDescent="0.25"/>
    <row r="523" s="1" customFormat="1" ht="16.5" customHeight="1" x14ac:dyDescent="0.25"/>
    <row r="524" s="1" customFormat="1" ht="16.5" customHeight="1" x14ac:dyDescent="0.25"/>
    <row r="525" s="1" customFormat="1" ht="16.5" customHeight="1" x14ac:dyDescent="0.25"/>
    <row r="526" s="1" customFormat="1" ht="16.5" customHeight="1" x14ac:dyDescent="0.25"/>
    <row r="527" s="1" customFormat="1" ht="16.5" customHeight="1" x14ac:dyDescent="0.25"/>
    <row r="528" s="1" customFormat="1" ht="16.5" customHeight="1" x14ac:dyDescent="0.25"/>
    <row r="529" s="1" customFormat="1" ht="16.5" customHeight="1" x14ac:dyDescent="0.25"/>
    <row r="530" s="1" customFormat="1" ht="16.5" customHeight="1" x14ac:dyDescent="0.25"/>
    <row r="531" s="1" customFormat="1" ht="16.5" customHeight="1" x14ac:dyDescent="0.25"/>
    <row r="532" s="1" customFormat="1" ht="16.5" customHeight="1" x14ac:dyDescent="0.25"/>
    <row r="533" s="1" customFormat="1" ht="16.5" customHeight="1" x14ac:dyDescent="0.25"/>
    <row r="534" s="1" customFormat="1" ht="16.5" customHeight="1" x14ac:dyDescent="0.25"/>
    <row r="535" s="1" customFormat="1" ht="16.5" customHeight="1" x14ac:dyDescent="0.25"/>
    <row r="536" s="1" customFormat="1" ht="16.5" customHeight="1" x14ac:dyDescent="0.25"/>
    <row r="537" s="1" customFormat="1" ht="16.5" customHeight="1" x14ac:dyDescent="0.25"/>
    <row r="538" s="1" customFormat="1" ht="16.5" customHeight="1" x14ac:dyDescent="0.25"/>
    <row r="539" s="1" customFormat="1" ht="16.5" customHeight="1" x14ac:dyDescent="0.25"/>
    <row r="540" s="1" customFormat="1" ht="16.5" customHeight="1" x14ac:dyDescent="0.25"/>
    <row r="541" s="1" customFormat="1" ht="16.5" customHeight="1" x14ac:dyDescent="0.25"/>
    <row r="542" s="1" customFormat="1" ht="16.5" customHeight="1" x14ac:dyDescent="0.25"/>
    <row r="543" s="1" customFormat="1" ht="16.5" customHeight="1" x14ac:dyDescent="0.25"/>
    <row r="544" s="1" customFormat="1" ht="16.5" customHeight="1" x14ac:dyDescent="0.25"/>
    <row r="545" s="1" customFormat="1" ht="16.5" customHeight="1" x14ac:dyDescent="0.25"/>
    <row r="546" s="1" customFormat="1" ht="16.5" customHeight="1" x14ac:dyDescent="0.25"/>
    <row r="547" s="1" customFormat="1" ht="16.5" customHeight="1" x14ac:dyDescent="0.25"/>
    <row r="548" s="1" customFormat="1" ht="16.5" customHeight="1" x14ac:dyDescent="0.25"/>
    <row r="549" s="1" customFormat="1" ht="16.5" customHeight="1" x14ac:dyDescent="0.25"/>
    <row r="550" s="1" customFormat="1" ht="16.5" customHeight="1" x14ac:dyDescent="0.25"/>
    <row r="551" s="1" customFormat="1" ht="16.5" customHeight="1" x14ac:dyDescent="0.25"/>
    <row r="552" s="1" customFormat="1" ht="16.5" customHeight="1" x14ac:dyDescent="0.25"/>
    <row r="553" s="1" customFormat="1" ht="16.5" customHeight="1" x14ac:dyDescent="0.25"/>
    <row r="554" s="1" customFormat="1" ht="16.5" customHeight="1" x14ac:dyDescent="0.25"/>
    <row r="555" s="1" customFormat="1" ht="16.5" customHeight="1" x14ac:dyDescent="0.25"/>
    <row r="556" s="1" customFormat="1" ht="16.5" customHeight="1" x14ac:dyDescent="0.25"/>
    <row r="557" s="1" customFormat="1" ht="16.5" customHeight="1" x14ac:dyDescent="0.25"/>
    <row r="558" s="1" customFormat="1" ht="16.5" customHeight="1" x14ac:dyDescent="0.25"/>
    <row r="559" s="1" customFormat="1" ht="16.5" customHeight="1" x14ac:dyDescent="0.25"/>
    <row r="560" s="1" customFormat="1" ht="16.5" customHeight="1" x14ac:dyDescent="0.25"/>
    <row r="561" s="1" customFormat="1" ht="16.5" customHeight="1" x14ac:dyDescent="0.25"/>
    <row r="562" s="1" customFormat="1" ht="16.5" customHeight="1" x14ac:dyDescent="0.25"/>
    <row r="563" s="1" customFormat="1" ht="16.5" customHeight="1" x14ac:dyDescent="0.25"/>
    <row r="564" s="1" customFormat="1" ht="16.5" customHeight="1" x14ac:dyDescent="0.25"/>
    <row r="565" s="1" customFormat="1" ht="16.5" customHeight="1" x14ac:dyDescent="0.25"/>
    <row r="566" s="1" customFormat="1" ht="16.5" customHeight="1" x14ac:dyDescent="0.25"/>
    <row r="567" s="1" customFormat="1" ht="16.5" customHeight="1" x14ac:dyDescent="0.25"/>
    <row r="568" s="1" customFormat="1" ht="16.5" customHeight="1" x14ac:dyDescent="0.25"/>
    <row r="569" s="1" customFormat="1" ht="16.5" customHeight="1" x14ac:dyDescent="0.25"/>
    <row r="570" s="1" customFormat="1" ht="16.5" customHeight="1" x14ac:dyDescent="0.25"/>
    <row r="571" s="1" customFormat="1" ht="16.5" customHeight="1" x14ac:dyDescent="0.25"/>
    <row r="572" s="1" customFormat="1" ht="16.5" customHeight="1" x14ac:dyDescent="0.25"/>
    <row r="573" s="1" customFormat="1" ht="16.5" customHeight="1" x14ac:dyDescent="0.25"/>
    <row r="574" s="1" customFormat="1" ht="16.5" customHeight="1" x14ac:dyDescent="0.25"/>
    <row r="575" s="1" customFormat="1" ht="16.5" customHeight="1" x14ac:dyDescent="0.25"/>
    <row r="576" s="1" customFormat="1" ht="16.5" customHeight="1" x14ac:dyDescent="0.25"/>
    <row r="577" s="1" customFormat="1" ht="16.5" customHeight="1" x14ac:dyDescent="0.25"/>
    <row r="578" s="1" customFormat="1" ht="16.5" customHeight="1" x14ac:dyDescent="0.25"/>
    <row r="579" s="1" customFormat="1" ht="16.5" customHeight="1" x14ac:dyDescent="0.25"/>
    <row r="580" s="1" customFormat="1" ht="16.5" customHeight="1" x14ac:dyDescent="0.25"/>
    <row r="581" s="1" customFormat="1" ht="16.5" customHeight="1" x14ac:dyDescent="0.25"/>
    <row r="582" s="1" customFormat="1" ht="16.5" customHeight="1" x14ac:dyDescent="0.25"/>
    <row r="583" s="1" customFormat="1" ht="16.5" customHeight="1" x14ac:dyDescent="0.25"/>
    <row r="584" s="1" customFormat="1" ht="16.5" customHeight="1" x14ac:dyDescent="0.25"/>
    <row r="585" s="1" customFormat="1" ht="16.5" customHeight="1" x14ac:dyDescent="0.25"/>
    <row r="586" s="1" customFormat="1" ht="16.5" customHeight="1" x14ac:dyDescent="0.25"/>
    <row r="587" s="1" customFormat="1" ht="16.5" customHeight="1" x14ac:dyDescent="0.25"/>
    <row r="588" s="1" customFormat="1" ht="16.5" customHeight="1" x14ac:dyDescent="0.25"/>
    <row r="589" s="1" customFormat="1" ht="16.5" customHeight="1" x14ac:dyDescent="0.25"/>
    <row r="590" s="1" customFormat="1" ht="16.5" customHeight="1" x14ac:dyDescent="0.25"/>
    <row r="591" s="1" customFormat="1" ht="16.5" customHeight="1" x14ac:dyDescent="0.25"/>
    <row r="592" s="1" customFormat="1" ht="16.5" customHeight="1" x14ac:dyDescent="0.25"/>
    <row r="593" s="1" customFormat="1" ht="16.5" customHeight="1" x14ac:dyDescent="0.25"/>
    <row r="594" s="1" customFormat="1" ht="16.5" customHeight="1" x14ac:dyDescent="0.25"/>
    <row r="595" s="1" customFormat="1" ht="16.5" customHeight="1" x14ac:dyDescent="0.25"/>
    <row r="596" s="1" customFormat="1" ht="16.5" customHeight="1" x14ac:dyDescent="0.25"/>
    <row r="597" s="1" customFormat="1" ht="16.5" customHeight="1" x14ac:dyDescent="0.25"/>
    <row r="598" s="1" customFormat="1" ht="16.5" customHeight="1" x14ac:dyDescent="0.25"/>
    <row r="599" s="1" customFormat="1" ht="16.5" customHeight="1" x14ac:dyDescent="0.25"/>
    <row r="600" s="1" customFormat="1" ht="16.5" customHeight="1" x14ac:dyDescent="0.25"/>
    <row r="601" s="1" customFormat="1" ht="16.5" customHeight="1" x14ac:dyDescent="0.25"/>
    <row r="602" s="1" customFormat="1" ht="16.5" customHeight="1" x14ac:dyDescent="0.25"/>
    <row r="603" s="1" customFormat="1" ht="16.5" customHeight="1" x14ac:dyDescent="0.25"/>
    <row r="604" s="1" customFormat="1" ht="16.5" customHeight="1" x14ac:dyDescent="0.25"/>
    <row r="605" s="1" customFormat="1" ht="16.5" customHeight="1" x14ac:dyDescent="0.25"/>
    <row r="606" s="1" customFormat="1" ht="16.5" customHeight="1" x14ac:dyDescent="0.25"/>
    <row r="607" s="1" customFormat="1" ht="16.5" customHeight="1" x14ac:dyDescent="0.25"/>
    <row r="608" s="1" customFormat="1" ht="16.5" customHeight="1" x14ac:dyDescent="0.25"/>
    <row r="609" s="1" customFormat="1" ht="16.5" customHeight="1" x14ac:dyDescent="0.25"/>
    <row r="610" s="1" customFormat="1" ht="16.5" customHeight="1" x14ac:dyDescent="0.25"/>
    <row r="611" s="1" customFormat="1" ht="16.5" customHeight="1" x14ac:dyDescent="0.25"/>
    <row r="612" s="1" customFormat="1" ht="16.5" customHeight="1" x14ac:dyDescent="0.25"/>
    <row r="613" s="1" customFormat="1" ht="16.5" customHeight="1" x14ac:dyDescent="0.25"/>
    <row r="614" s="1" customFormat="1" ht="16.5" customHeight="1" x14ac:dyDescent="0.25"/>
    <row r="615" s="1" customFormat="1" ht="16.5" customHeight="1" x14ac:dyDescent="0.25"/>
    <row r="616" s="1" customFormat="1" ht="16.5" customHeight="1" x14ac:dyDescent="0.25"/>
    <row r="617" s="1" customFormat="1" ht="16.5" customHeight="1" x14ac:dyDescent="0.25"/>
    <row r="618" s="1" customFormat="1" ht="16.5" customHeight="1" x14ac:dyDescent="0.25"/>
    <row r="619" s="1" customFormat="1" ht="16.5" customHeight="1" x14ac:dyDescent="0.25"/>
    <row r="620" s="1" customFormat="1" ht="16.5" customHeight="1" x14ac:dyDescent="0.25"/>
    <row r="621" s="1" customFormat="1" ht="16.5" customHeight="1" x14ac:dyDescent="0.25"/>
    <row r="622" s="1" customFormat="1" ht="16.5" customHeight="1" x14ac:dyDescent="0.25"/>
    <row r="623" s="1" customFormat="1" ht="16.5" customHeight="1" x14ac:dyDescent="0.25"/>
    <row r="624" s="1" customFormat="1" ht="16.5" customHeight="1" x14ac:dyDescent="0.25"/>
    <row r="625" s="1" customFormat="1" ht="16.5" customHeight="1" x14ac:dyDescent="0.25"/>
    <row r="626" s="1" customFormat="1" ht="16.5" customHeight="1" x14ac:dyDescent="0.25"/>
    <row r="627" s="1" customFormat="1" ht="16.5" customHeight="1" x14ac:dyDescent="0.25"/>
    <row r="628" s="1" customFormat="1" ht="16.5" customHeight="1" x14ac:dyDescent="0.25"/>
    <row r="629" s="1" customFormat="1" ht="16.5" customHeight="1" x14ac:dyDescent="0.25"/>
    <row r="630" s="1" customFormat="1" ht="16.5" customHeight="1" x14ac:dyDescent="0.25"/>
    <row r="631" s="1" customFormat="1" ht="16.5" customHeight="1" x14ac:dyDescent="0.25"/>
    <row r="632" s="1" customFormat="1" ht="16.5" customHeight="1" x14ac:dyDescent="0.25"/>
    <row r="633" s="1" customFormat="1" ht="16.5" customHeight="1" x14ac:dyDescent="0.25"/>
    <row r="634" s="1" customFormat="1" ht="16.5" customHeight="1" x14ac:dyDescent="0.25"/>
    <row r="635" s="1" customFormat="1" ht="16.5" customHeight="1" x14ac:dyDescent="0.25"/>
    <row r="636" s="1" customFormat="1" ht="16.5" customHeight="1" x14ac:dyDescent="0.25"/>
    <row r="637" s="1" customFormat="1" ht="16.5" customHeight="1" x14ac:dyDescent="0.25"/>
    <row r="638" s="1" customFormat="1" ht="16.5" customHeight="1" x14ac:dyDescent="0.25"/>
    <row r="639" s="1" customFormat="1" ht="16.5" customHeight="1" x14ac:dyDescent="0.25"/>
    <row r="640" s="1" customFormat="1" ht="16.5" customHeight="1" x14ac:dyDescent="0.25"/>
    <row r="641" s="1" customFormat="1" ht="16.5" customHeight="1" x14ac:dyDescent="0.25"/>
    <row r="642" s="1" customFormat="1" ht="16.5" customHeight="1" x14ac:dyDescent="0.25"/>
    <row r="643" s="1" customFormat="1" ht="16.5" customHeight="1" x14ac:dyDescent="0.25"/>
    <row r="644" s="1" customFormat="1" ht="16.5" customHeight="1" x14ac:dyDescent="0.25"/>
    <row r="645" s="1" customFormat="1" ht="16.5" customHeight="1" x14ac:dyDescent="0.25"/>
    <row r="646" s="1" customFormat="1" ht="16.5" customHeight="1" x14ac:dyDescent="0.25"/>
    <row r="647" s="1" customFormat="1" ht="16.5" customHeight="1" x14ac:dyDescent="0.25"/>
    <row r="648" s="1" customFormat="1" ht="16.5" customHeight="1" x14ac:dyDescent="0.25"/>
    <row r="649" s="1" customFormat="1" ht="16.5" customHeight="1" x14ac:dyDescent="0.25"/>
    <row r="650" s="1" customFormat="1" ht="16.5" customHeight="1" x14ac:dyDescent="0.25"/>
    <row r="651" s="1" customFormat="1" ht="16.5" customHeight="1" x14ac:dyDescent="0.25"/>
    <row r="652" s="1" customFormat="1" ht="16.5" customHeight="1" x14ac:dyDescent="0.25"/>
    <row r="653" s="1" customFormat="1" ht="16.5" customHeight="1" x14ac:dyDescent="0.25"/>
    <row r="654" s="1" customFormat="1" ht="16.5" customHeight="1" x14ac:dyDescent="0.25"/>
    <row r="655" s="1" customFormat="1" ht="16.5" customHeight="1" x14ac:dyDescent="0.25"/>
    <row r="656" s="1" customFormat="1" ht="16.5" customHeight="1" x14ac:dyDescent="0.25"/>
    <row r="657" s="1" customFormat="1" ht="16.5" customHeight="1" x14ac:dyDescent="0.25"/>
    <row r="658" s="1" customFormat="1" ht="16.5" customHeight="1" x14ac:dyDescent="0.25"/>
    <row r="659" s="1" customFormat="1" ht="16.5" customHeight="1" x14ac:dyDescent="0.25"/>
    <row r="660" s="1" customFormat="1" ht="16.5" customHeight="1" x14ac:dyDescent="0.25"/>
    <row r="661" s="1" customFormat="1" ht="16.5" customHeight="1" x14ac:dyDescent="0.25"/>
    <row r="662" s="1" customFormat="1" ht="16.5" customHeight="1" x14ac:dyDescent="0.25"/>
    <row r="663" s="1" customFormat="1" ht="16.5" customHeight="1" x14ac:dyDescent="0.25"/>
    <row r="664" s="1" customFormat="1" ht="16.5" customHeight="1" x14ac:dyDescent="0.25"/>
    <row r="665" s="1" customFormat="1" ht="16.5" customHeight="1" x14ac:dyDescent="0.25"/>
    <row r="666" s="1" customFormat="1" ht="16.5" customHeight="1" x14ac:dyDescent="0.25"/>
    <row r="667" s="1" customFormat="1" ht="16.5" customHeight="1" x14ac:dyDescent="0.25"/>
    <row r="668" s="1" customFormat="1" ht="16.5" customHeight="1" x14ac:dyDescent="0.25"/>
    <row r="669" s="1" customFormat="1" ht="16.5" customHeight="1" x14ac:dyDescent="0.25"/>
    <row r="670" s="1" customFormat="1" ht="16.5" customHeight="1" x14ac:dyDescent="0.25"/>
    <row r="671" s="1" customFormat="1" ht="16.5" customHeight="1" x14ac:dyDescent="0.25"/>
    <row r="672" s="1" customFormat="1" ht="16.5" customHeight="1" x14ac:dyDescent="0.25"/>
    <row r="673" s="1" customFormat="1" ht="16.5" customHeight="1" x14ac:dyDescent="0.25"/>
    <row r="674" s="1" customFormat="1" ht="16.5" customHeight="1" x14ac:dyDescent="0.25"/>
    <row r="675" s="1" customFormat="1" ht="16.5" customHeight="1" x14ac:dyDescent="0.25"/>
    <row r="676" s="1" customFormat="1" ht="16.5" customHeight="1" x14ac:dyDescent="0.25"/>
    <row r="677" s="1" customFormat="1" ht="16.5" customHeight="1" x14ac:dyDescent="0.25"/>
    <row r="678" s="1" customFormat="1" ht="16.5" customHeight="1" x14ac:dyDescent="0.25"/>
    <row r="679" s="1" customFormat="1" ht="16.5" customHeight="1" x14ac:dyDescent="0.25"/>
    <row r="680" s="1" customFormat="1" ht="16.5" customHeight="1" x14ac:dyDescent="0.25"/>
    <row r="681" s="1" customFormat="1" ht="16.5" customHeight="1" x14ac:dyDescent="0.25"/>
    <row r="682" s="1" customFormat="1" ht="16.5" customHeight="1" x14ac:dyDescent="0.25"/>
    <row r="683" s="1" customFormat="1" ht="16.5" customHeight="1" x14ac:dyDescent="0.25"/>
    <row r="684" s="1" customFormat="1" ht="16.5" customHeight="1" x14ac:dyDescent="0.25"/>
    <row r="685" s="1" customFormat="1" ht="16.5" customHeight="1" x14ac:dyDescent="0.25"/>
    <row r="686" s="1" customFormat="1" ht="16.5" customHeight="1" x14ac:dyDescent="0.25"/>
    <row r="687" s="1" customFormat="1" ht="16.5" customHeight="1" x14ac:dyDescent="0.25"/>
    <row r="688" s="1" customFormat="1" ht="16.5" customHeight="1" x14ac:dyDescent="0.25"/>
    <row r="689" s="1" customFormat="1" ht="16.5" customHeight="1" x14ac:dyDescent="0.25"/>
    <row r="690" s="1" customFormat="1" ht="16.5" customHeight="1" x14ac:dyDescent="0.25"/>
    <row r="691" s="1" customFormat="1" ht="16.5" customHeight="1" x14ac:dyDescent="0.25"/>
    <row r="692" s="1" customFormat="1" ht="16.5" customHeight="1" x14ac:dyDescent="0.25"/>
    <row r="693" s="1" customFormat="1" ht="16.5" customHeight="1" x14ac:dyDescent="0.25"/>
    <row r="694" s="1" customFormat="1" ht="16.5" customHeight="1" x14ac:dyDescent="0.25"/>
    <row r="695" s="1" customFormat="1" ht="16.5" customHeight="1" x14ac:dyDescent="0.25"/>
    <row r="696" s="1" customFormat="1" ht="16.5" customHeight="1" x14ac:dyDescent="0.25"/>
    <row r="697" s="1" customFormat="1" ht="16.5" customHeight="1" x14ac:dyDescent="0.25"/>
    <row r="698" s="1" customFormat="1" ht="16.5" customHeight="1" x14ac:dyDescent="0.25"/>
    <row r="699" s="1" customFormat="1" ht="16.5" customHeight="1" x14ac:dyDescent="0.25"/>
    <row r="700" s="1" customFormat="1" ht="16.5" customHeight="1" x14ac:dyDescent="0.25"/>
    <row r="701" s="1" customFormat="1" ht="16.5" customHeight="1" x14ac:dyDescent="0.25"/>
    <row r="702" s="1" customFormat="1" ht="16.5" customHeight="1" x14ac:dyDescent="0.25"/>
    <row r="703" s="1" customFormat="1" ht="16.5" customHeight="1" x14ac:dyDescent="0.25"/>
    <row r="704" s="1" customFormat="1" ht="16.5" customHeight="1" x14ac:dyDescent="0.25"/>
    <row r="705" s="1" customFormat="1" ht="16.5" customHeight="1" x14ac:dyDescent="0.25"/>
    <row r="706" s="1" customFormat="1" ht="16.5" customHeight="1" x14ac:dyDescent="0.25"/>
    <row r="707" s="1" customFormat="1" ht="16.5" customHeight="1" x14ac:dyDescent="0.25"/>
    <row r="708" s="1" customFormat="1" ht="16.5" customHeight="1" x14ac:dyDescent="0.25"/>
    <row r="709" s="1" customFormat="1" ht="16.5" customHeight="1" x14ac:dyDescent="0.25"/>
    <row r="710" s="1" customFormat="1" ht="16.5" customHeight="1" x14ac:dyDescent="0.25"/>
    <row r="711" s="1" customFormat="1" ht="16.5" customHeight="1" x14ac:dyDescent="0.25"/>
    <row r="712" s="1" customFormat="1" ht="16.5" customHeight="1" x14ac:dyDescent="0.25"/>
    <row r="713" s="1" customFormat="1" ht="16.5" customHeight="1" x14ac:dyDescent="0.25"/>
    <row r="714" s="1" customFormat="1" ht="16.5" customHeight="1" x14ac:dyDescent="0.25"/>
    <row r="715" s="1" customFormat="1" ht="16.5" customHeight="1" x14ac:dyDescent="0.25"/>
    <row r="716" s="1" customFormat="1" ht="16.5" customHeight="1" x14ac:dyDescent="0.25"/>
    <row r="717" s="1" customFormat="1" ht="16.5" customHeight="1" x14ac:dyDescent="0.25"/>
    <row r="718" s="1" customFormat="1" ht="16.5" customHeight="1" x14ac:dyDescent="0.25"/>
    <row r="719" s="1" customFormat="1" ht="16.5" customHeight="1" x14ac:dyDescent="0.25"/>
    <row r="720" s="1" customFormat="1" ht="16.5" customHeight="1" x14ac:dyDescent="0.25"/>
    <row r="721" s="1" customFormat="1" ht="16.5" customHeight="1" x14ac:dyDescent="0.25"/>
    <row r="722" s="1" customFormat="1" ht="16.5" customHeight="1" x14ac:dyDescent="0.25"/>
    <row r="723" s="1" customFormat="1" ht="16.5" customHeight="1" x14ac:dyDescent="0.25"/>
    <row r="724" s="1" customFormat="1" ht="16.5" customHeight="1" x14ac:dyDescent="0.25"/>
    <row r="725" s="1" customFormat="1" ht="16.5" customHeight="1" x14ac:dyDescent="0.25"/>
    <row r="726" s="1" customFormat="1" ht="16.5" customHeight="1" x14ac:dyDescent="0.25"/>
    <row r="727" s="1" customFormat="1" ht="16.5" customHeight="1" x14ac:dyDescent="0.25"/>
    <row r="728" s="1" customFormat="1" ht="16.5" customHeight="1" x14ac:dyDescent="0.25"/>
    <row r="729" s="1" customFormat="1" ht="16.5" customHeight="1" x14ac:dyDescent="0.25"/>
    <row r="730" s="1" customFormat="1" ht="16.5" customHeight="1" x14ac:dyDescent="0.25"/>
    <row r="731" s="1" customFormat="1" ht="16.5" customHeight="1" x14ac:dyDescent="0.25"/>
    <row r="732" s="1" customFormat="1" ht="16.5" customHeight="1" x14ac:dyDescent="0.25"/>
    <row r="733" s="1" customFormat="1" ht="16.5" customHeight="1" x14ac:dyDescent="0.25"/>
    <row r="734" s="1" customFormat="1" ht="16.5" customHeight="1" x14ac:dyDescent="0.25"/>
    <row r="735" s="1" customFormat="1" ht="16.5" customHeight="1" x14ac:dyDescent="0.25"/>
    <row r="736" s="1" customFormat="1" ht="16.5" customHeight="1" x14ac:dyDescent="0.25"/>
    <row r="737" s="1" customFormat="1" ht="16.5" customHeight="1" x14ac:dyDescent="0.25"/>
    <row r="738" s="1" customFormat="1" ht="16.5" customHeight="1" x14ac:dyDescent="0.25"/>
    <row r="739" s="1" customFormat="1" ht="16.5" customHeight="1" x14ac:dyDescent="0.25"/>
    <row r="740" s="1" customFormat="1" ht="16.5" customHeight="1" x14ac:dyDescent="0.25"/>
    <row r="741" s="1" customFormat="1" ht="16.5" customHeight="1" x14ac:dyDescent="0.25"/>
    <row r="742" s="1" customFormat="1" ht="16.5" customHeight="1" x14ac:dyDescent="0.25"/>
    <row r="743" s="1" customFormat="1" ht="16.5" customHeight="1" x14ac:dyDescent="0.25"/>
    <row r="744" s="1" customFormat="1" ht="16.5" customHeight="1" x14ac:dyDescent="0.25"/>
    <row r="745" s="1" customFormat="1" ht="16.5" customHeight="1" x14ac:dyDescent="0.25"/>
    <row r="746" s="1" customFormat="1" ht="16.5" customHeight="1" x14ac:dyDescent="0.25"/>
    <row r="747" s="1" customFormat="1" ht="16.5" customHeight="1" x14ac:dyDescent="0.25"/>
    <row r="748" s="1" customFormat="1" ht="16.5" customHeight="1" x14ac:dyDescent="0.25"/>
    <row r="749" s="1" customFormat="1" ht="16.5" customHeight="1" x14ac:dyDescent="0.25"/>
    <row r="750" s="1" customFormat="1" ht="16.5" customHeight="1" x14ac:dyDescent="0.25"/>
    <row r="751" s="1" customFormat="1" ht="16.5" customHeight="1" x14ac:dyDescent="0.25"/>
    <row r="752" s="1" customFormat="1" ht="16.5" customHeight="1" x14ac:dyDescent="0.25"/>
    <row r="753" s="1" customFormat="1" ht="16.5" customHeight="1" x14ac:dyDescent="0.25"/>
    <row r="754" s="1" customFormat="1" ht="16.5" customHeight="1" x14ac:dyDescent="0.25"/>
    <row r="755" s="1" customFormat="1" ht="16.5" customHeight="1" x14ac:dyDescent="0.25"/>
    <row r="756" s="1" customFormat="1" ht="16.5" customHeight="1" x14ac:dyDescent="0.25"/>
    <row r="757" s="1" customFormat="1" ht="16.5" customHeight="1" x14ac:dyDescent="0.25"/>
    <row r="758" s="1" customFormat="1" ht="16.5" customHeight="1" x14ac:dyDescent="0.25"/>
    <row r="759" s="1" customFormat="1" ht="16.5" customHeight="1" x14ac:dyDescent="0.25"/>
    <row r="760" s="1" customFormat="1" ht="16.5" customHeight="1" x14ac:dyDescent="0.25"/>
    <row r="761" s="1" customFormat="1" ht="16.5" customHeight="1" x14ac:dyDescent="0.25"/>
    <row r="762" s="1" customFormat="1" ht="16.5" customHeight="1" x14ac:dyDescent="0.25"/>
    <row r="763" s="1" customFormat="1" ht="16.5" customHeight="1" x14ac:dyDescent="0.25"/>
    <row r="764" s="1" customFormat="1" ht="16.5" customHeight="1" x14ac:dyDescent="0.25"/>
    <row r="765" s="1" customFormat="1" ht="16.5" customHeight="1" x14ac:dyDescent="0.25"/>
    <row r="766" s="1" customFormat="1" ht="16.5" customHeight="1" x14ac:dyDescent="0.25"/>
    <row r="767" s="1" customFormat="1" ht="16.5" customHeight="1" x14ac:dyDescent="0.25"/>
    <row r="768" s="1" customFormat="1" ht="16.5" customHeight="1" x14ac:dyDescent="0.25"/>
    <row r="769" s="1" customFormat="1" ht="16.5" customHeight="1" x14ac:dyDescent="0.25"/>
    <row r="770" s="1" customFormat="1" ht="16.5" customHeight="1" x14ac:dyDescent="0.25"/>
    <row r="771" s="1" customFormat="1" ht="16.5" customHeight="1" x14ac:dyDescent="0.25"/>
    <row r="772" s="1" customFormat="1" ht="16.5" customHeight="1" x14ac:dyDescent="0.25"/>
    <row r="773" s="1" customFormat="1" ht="16.5" customHeight="1" x14ac:dyDescent="0.25"/>
    <row r="774" s="1" customFormat="1" ht="16.5" customHeight="1" x14ac:dyDescent="0.25"/>
    <row r="775" s="1" customFormat="1" ht="16.5" customHeight="1" x14ac:dyDescent="0.25"/>
    <row r="776" s="1" customFormat="1" ht="16.5" customHeight="1" x14ac:dyDescent="0.25"/>
    <row r="777" s="1" customFormat="1" ht="16.5" customHeight="1" x14ac:dyDescent="0.25"/>
    <row r="778" s="1" customFormat="1" ht="16.5" customHeight="1" x14ac:dyDescent="0.25"/>
    <row r="779" s="1" customFormat="1" ht="16.5" customHeight="1" x14ac:dyDescent="0.25"/>
    <row r="780" s="1" customFormat="1" ht="16.5" customHeight="1" x14ac:dyDescent="0.25"/>
    <row r="781" s="1" customFormat="1" ht="16.5" customHeight="1" x14ac:dyDescent="0.25"/>
    <row r="782" s="1" customFormat="1" ht="16.5" customHeight="1" x14ac:dyDescent="0.25"/>
    <row r="783" s="1" customFormat="1" ht="16.5" customHeight="1" x14ac:dyDescent="0.25"/>
    <row r="784" s="1" customFormat="1" ht="16.5" customHeight="1" x14ac:dyDescent="0.25"/>
    <row r="785" s="1" customFormat="1" ht="16.5" customHeight="1" x14ac:dyDescent="0.25"/>
    <row r="786" s="1" customFormat="1" ht="16.5" customHeight="1" x14ac:dyDescent="0.25"/>
    <row r="787" s="1" customFormat="1" ht="16.5" customHeight="1" x14ac:dyDescent="0.25"/>
    <row r="788" s="1" customFormat="1" ht="16.5" customHeight="1" x14ac:dyDescent="0.25"/>
    <row r="789" s="1" customFormat="1" ht="16.5" customHeight="1" x14ac:dyDescent="0.25"/>
    <row r="790" s="1" customFormat="1" ht="16.5" customHeight="1" x14ac:dyDescent="0.25"/>
    <row r="791" s="1" customFormat="1" ht="16.5" customHeight="1" x14ac:dyDescent="0.25"/>
    <row r="792" s="1" customFormat="1" ht="16.5" customHeight="1" x14ac:dyDescent="0.25"/>
    <row r="793" s="1" customFormat="1" ht="16.5" customHeight="1" x14ac:dyDescent="0.25"/>
    <row r="794" s="1" customFormat="1" ht="16.5" customHeight="1" x14ac:dyDescent="0.25"/>
    <row r="795" s="1" customFormat="1" ht="16.5" customHeight="1" x14ac:dyDescent="0.25"/>
    <row r="796" s="1" customFormat="1" ht="16.5" customHeight="1" x14ac:dyDescent="0.25"/>
    <row r="797" s="1" customFormat="1" ht="16.5" customHeight="1" x14ac:dyDescent="0.25"/>
    <row r="798" s="1" customFormat="1" ht="16.5" customHeight="1" x14ac:dyDescent="0.25"/>
    <row r="799" s="1" customFormat="1" ht="16.5" customHeight="1" x14ac:dyDescent="0.25"/>
    <row r="800" s="1" customFormat="1" ht="16.5" customHeight="1" x14ac:dyDescent="0.25"/>
    <row r="801" s="1" customFormat="1" ht="16.5" customHeight="1" x14ac:dyDescent="0.25"/>
    <row r="802" s="1" customFormat="1" ht="16.5" customHeight="1" x14ac:dyDescent="0.25"/>
    <row r="803" s="1" customFormat="1" ht="16.5" customHeight="1" x14ac:dyDescent="0.25"/>
    <row r="804" s="1" customFormat="1" ht="16.5" customHeight="1" x14ac:dyDescent="0.25"/>
    <row r="805" s="1" customFormat="1" ht="16.5" customHeight="1" x14ac:dyDescent="0.25"/>
    <row r="806" s="1" customFormat="1" ht="16.5" customHeight="1" x14ac:dyDescent="0.25"/>
    <row r="807" s="1" customFormat="1" ht="16.5" customHeight="1" x14ac:dyDescent="0.25"/>
    <row r="808" s="1" customFormat="1" ht="16.5" customHeight="1" x14ac:dyDescent="0.25"/>
    <row r="809" s="1" customFormat="1" ht="16.5" customHeight="1" x14ac:dyDescent="0.25"/>
    <row r="810" s="1" customFormat="1" ht="16.5" customHeight="1" x14ac:dyDescent="0.25"/>
    <row r="811" s="1" customFormat="1" ht="16.5" customHeight="1" x14ac:dyDescent="0.25"/>
    <row r="812" s="1" customFormat="1" ht="16.5" customHeight="1" x14ac:dyDescent="0.25"/>
    <row r="813" s="1" customFormat="1" ht="16.5" customHeight="1" x14ac:dyDescent="0.25"/>
    <row r="814" s="1" customFormat="1" ht="16.5" customHeight="1" x14ac:dyDescent="0.25"/>
    <row r="815" s="1" customFormat="1" ht="16.5" customHeight="1" x14ac:dyDescent="0.25"/>
    <row r="816" s="1" customFormat="1" ht="16.5" customHeight="1" x14ac:dyDescent="0.25"/>
    <row r="817" s="1" customFormat="1" ht="16.5" customHeight="1" x14ac:dyDescent="0.25"/>
    <row r="818" s="1" customFormat="1" ht="16.5" customHeight="1" x14ac:dyDescent="0.25"/>
    <row r="819" s="1" customFormat="1" ht="16.5" customHeight="1" x14ac:dyDescent="0.25"/>
    <row r="820" s="1" customFormat="1" ht="16.5" customHeight="1" x14ac:dyDescent="0.25"/>
    <row r="821" s="1" customFormat="1" ht="16.5" customHeight="1" x14ac:dyDescent="0.25"/>
    <row r="822" s="1" customFormat="1" ht="16.5" customHeight="1" x14ac:dyDescent="0.25"/>
    <row r="823" s="1" customFormat="1" ht="16.5" customHeight="1" x14ac:dyDescent="0.25"/>
    <row r="824" s="1" customFormat="1" ht="16.5" customHeight="1" x14ac:dyDescent="0.25"/>
    <row r="825" s="1" customFormat="1" ht="16.5" customHeight="1" x14ac:dyDescent="0.25"/>
    <row r="826" s="1" customFormat="1" ht="16.5" customHeight="1" x14ac:dyDescent="0.25"/>
    <row r="827" s="1" customFormat="1" ht="16.5" customHeight="1" x14ac:dyDescent="0.25"/>
    <row r="828" s="1" customFormat="1" ht="16.5" customHeight="1" x14ac:dyDescent="0.25"/>
    <row r="829" s="1" customFormat="1" ht="16.5" customHeight="1" x14ac:dyDescent="0.25"/>
    <row r="830" s="1" customFormat="1" ht="16.5" customHeight="1" x14ac:dyDescent="0.25"/>
    <row r="831" s="1" customFormat="1" ht="16.5" customHeight="1" x14ac:dyDescent="0.25"/>
    <row r="832" s="1" customFormat="1" ht="16.5" customHeight="1" x14ac:dyDescent="0.25"/>
    <row r="833" s="1" customFormat="1" ht="16.5" customHeight="1" x14ac:dyDescent="0.25"/>
    <row r="834" s="1" customFormat="1" ht="16.5" customHeight="1" x14ac:dyDescent="0.25"/>
    <row r="835" s="1" customFormat="1" ht="16.5" customHeight="1" x14ac:dyDescent="0.25"/>
    <row r="836" s="1" customFormat="1" ht="16.5" customHeight="1" x14ac:dyDescent="0.25"/>
    <row r="837" s="1" customFormat="1" ht="16.5" customHeight="1" x14ac:dyDescent="0.25"/>
    <row r="838" s="1" customFormat="1" ht="16.5" customHeight="1" x14ac:dyDescent="0.25"/>
    <row r="839" s="1" customFormat="1" ht="16.5" customHeight="1" x14ac:dyDescent="0.25"/>
    <row r="840" s="1" customFormat="1" ht="16.5" customHeight="1" x14ac:dyDescent="0.25"/>
    <row r="841" s="1" customFormat="1" ht="16.5" customHeight="1" x14ac:dyDescent="0.25"/>
    <row r="842" s="1" customFormat="1" ht="16.5" customHeight="1" x14ac:dyDescent="0.25"/>
    <row r="843" s="1" customFormat="1" ht="16.5" customHeight="1" x14ac:dyDescent="0.25"/>
    <row r="844" s="1" customFormat="1" ht="16.5" customHeight="1" x14ac:dyDescent="0.25"/>
    <row r="845" s="1" customFormat="1" ht="16.5" customHeight="1" x14ac:dyDescent="0.25"/>
    <row r="846" s="1" customFormat="1" ht="16.5" customHeight="1" x14ac:dyDescent="0.25"/>
    <row r="847" s="1" customFormat="1" ht="16.5" customHeight="1" x14ac:dyDescent="0.25"/>
    <row r="848" s="1" customFormat="1" ht="16.5" customHeight="1" x14ac:dyDescent="0.25"/>
    <row r="849" s="1" customFormat="1" ht="16.5" customHeight="1" x14ac:dyDescent="0.25"/>
    <row r="850" s="1" customFormat="1" ht="16.5" customHeight="1" x14ac:dyDescent="0.25"/>
    <row r="851" s="1" customFormat="1" ht="16.5" customHeight="1" x14ac:dyDescent="0.25"/>
    <row r="852" s="1" customFormat="1" ht="16.5" customHeight="1" x14ac:dyDescent="0.25"/>
    <row r="853" s="1" customFormat="1" ht="16.5" customHeight="1" x14ac:dyDescent="0.25"/>
    <row r="854" s="1" customFormat="1" ht="16.5" customHeight="1" x14ac:dyDescent="0.25"/>
    <row r="855" s="1" customFormat="1" ht="16.5" customHeight="1" x14ac:dyDescent="0.25"/>
    <row r="856" s="1" customFormat="1" ht="16.5" customHeight="1" x14ac:dyDescent="0.25"/>
    <row r="857" s="1" customFormat="1" ht="16.5" customHeight="1" x14ac:dyDescent="0.25"/>
    <row r="858" s="1" customFormat="1" ht="16.5" customHeight="1" x14ac:dyDescent="0.25"/>
    <row r="859" s="1" customFormat="1" ht="16.5" customHeight="1" x14ac:dyDescent="0.25"/>
    <row r="860" s="1" customFormat="1" ht="16.5" customHeight="1" x14ac:dyDescent="0.25"/>
    <row r="861" s="1" customFormat="1" ht="16.5" customHeight="1" x14ac:dyDescent="0.25"/>
    <row r="862" s="1" customFormat="1" ht="16.5" customHeight="1" x14ac:dyDescent="0.25"/>
    <row r="863" s="1" customFormat="1" ht="16.5" customHeight="1" x14ac:dyDescent="0.25"/>
    <row r="864" s="1" customFormat="1" ht="16.5" customHeight="1" x14ac:dyDescent="0.25"/>
    <row r="865" s="1" customFormat="1" ht="16.5" customHeight="1" x14ac:dyDescent="0.25"/>
    <row r="866" s="1" customFormat="1" ht="16.5" customHeight="1" x14ac:dyDescent="0.25"/>
    <row r="867" s="1" customFormat="1" ht="16.5" customHeight="1" x14ac:dyDescent="0.25"/>
    <row r="868" s="1" customFormat="1" ht="16.5" customHeight="1" x14ac:dyDescent="0.25"/>
    <row r="869" s="1" customFormat="1" ht="16.5" customHeight="1" x14ac:dyDescent="0.25"/>
    <row r="870" s="1" customFormat="1" ht="16.5" customHeight="1" x14ac:dyDescent="0.25"/>
    <row r="871" s="1" customFormat="1" ht="16.5" customHeight="1" x14ac:dyDescent="0.25"/>
    <row r="872" s="1" customFormat="1" ht="16.5" customHeight="1" x14ac:dyDescent="0.25"/>
    <row r="873" s="1" customFormat="1" ht="16.5" customHeight="1" x14ac:dyDescent="0.25"/>
    <row r="874" s="1" customFormat="1" ht="16.5" customHeight="1" x14ac:dyDescent="0.25"/>
    <row r="875" s="1" customFormat="1" ht="16.5" customHeight="1" x14ac:dyDescent="0.25"/>
    <row r="876" s="1" customFormat="1" ht="16.5" customHeight="1" x14ac:dyDescent="0.25"/>
    <row r="877" s="1" customFormat="1" ht="16.5" customHeight="1" x14ac:dyDescent="0.25"/>
    <row r="878" s="1" customFormat="1" ht="16.5" customHeight="1" x14ac:dyDescent="0.25"/>
    <row r="879" s="1" customFormat="1" ht="16.5" customHeight="1" x14ac:dyDescent="0.25"/>
    <row r="880" s="1" customFormat="1" ht="16.5" customHeight="1" x14ac:dyDescent="0.25"/>
    <row r="881" s="1" customFormat="1" ht="16.5" customHeight="1" x14ac:dyDescent="0.25"/>
    <row r="882" s="1" customFormat="1" ht="16.5" customHeight="1" x14ac:dyDescent="0.25"/>
    <row r="883" s="1" customFormat="1" ht="16.5" customHeight="1" x14ac:dyDescent="0.25"/>
    <row r="884" s="1" customFormat="1" ht="16.5" customHeight="1" x14ac:dyDescent="0.25"/>
    <row r="885" s="1" customFormat="1" ht="16.5" customHeight="1" x14ac:dyDescent="0.25"/>
    <row r="886" s="1" customFormat="1" ht="16.5" customHeight="1" x14ac:dyDescent="0.25"/>
    <row r="887" s="1" customFormat="1" ht="16.5" customHeight="1" x14ac:dyDescent="0.25"/>
    <row r="888" s="1" customFormat="1" ht="16.5" customHeight="1" x14ac:dyDescent="0.25"/>
    <row r="889" s="1" customFormat="1" ht="16.5" customHeight="1" x14ac:dyDescent="0.25"/>
    <row r="890" s="1" customFormat="1" ht="16.5" customHeight="1" x14ac:dyDescent="0.25"/>
    <row r="891" s="1" customFormat="1" ht="16.5" customHeight="1" x14ac:dyDescent="0.25"/>
    <row r="892" s="1" customFormat="1" ht="16.5" customHeight="1" x14ac:dyDescent="0.25"/>
    <row r="893" s="1" customFormat="1" ht="16.5" customHeight="1" x14ac:dyDescent="0.25"/>
    <row r="894" s="1" customFormat="1" ht="16.5" customHeight="1" x14ac:dyDescent="0.25"/>
    <row r="895" s="1" customFormat="1" ht="16.5" customHeight="1" x14ac:dyDescent="0.25"/>
    <row r="896" s="1" customFormat="1" ht="16.5" customHeight="1" x14ac:dyDescent="0.25"/>
    <row r="897" s="1" customFormat="1" ht="16.5" customHeight="1" x14ac:dyDescent="0.25"/>
    <row r="898" s="1" customFormat="1" ht="16.5" customHeight="1" x14ac:dyDescent="0.25"/>
    <row r="899" s="1" customFormat="1" ht="16.5" customHeight="1" x14ac:dyDescent="0.25"/>
    <row r="900" s="1" customFormat="1" ht="16.5" customHeight="1" x14ac:dyDescent="0.25"/>
    <row r="901" s="1" customFormat="1" ht="16.5" customHeight="1" x14ac:dyDescent="0.25"/>
    <row r="902" s="1" customFormat="1" ht="16.5" customHeight="1" x14ac:dyDescent="0.25"/>
    <row r="903" s="1" customFormat="1" ht="16.5" customHeight="1" x14ac:dyDescent="0.25"/>
    <row r="904" s="1" customFormat="1" ht="16.5" customHeight="1" x14ac:dyDescent="0.25"/>
    <row r="905" s="1" customFormat="1" ht="16.5" customHeight="1" x14ac:dyDescent="0.25"/>
    <row r="906" s="1" customFormat="1" ht="16.5" customHeight="1" x14ac:dyDescent="0.25"/>
    <row r="907" s="1" customFormat="1" ht="16.5" customHeight="1" x14ac:dyDescent="0.25"/>
    <row r="908" s="1" customFormat="1" ht="16.5" customHeight="1" x14ac:dyDescent="0.25"/>
    <row r="909" s="1" customFormat="1" ht="16.5" customHeight="1" x14ac:dyDescent="0.25"/>
    <row r="910" s="1" customFormat="1" ht="16.5" customHeight="1" x14ac:dyDescent="0.25"/>
    <row r="911" s="1" customFormat="1" ht="16.5" customHeight="1" x14ac:dyDescent="0.25"/>
    <row r="912" s="1" customFormat="1" ht="16.5" customHeight="1" x14ac:dyDescent="0.25"/>
    <row r="913" s="1" customFormat="1" ht="16.5" customHeight="1" x14ac:dyDescent="0.25"/>
    <row r="914" s="1" customFormat="1" ht="16.5" customHeight="1" x14ac:dyDescent="0.25"/>
    <row r="915" s="1" customFormat="1" ht="16.5" customHeight="1" x14ac:dyDescent="0.25"/>
    <row r="916" s="1" customFormat="1" ht="16.5" customHeight="1" x14ac:dyDescent="0.25"/>
    <row r="917" s="1" customFormat="1" ht="16.5" customHeight="1" x14ac:dyDescent="0.25"/>
    <row r="918" s="1" customFormat="1" ht="16.5" customHeight="1" x14ac:dyDescent="0.25"/>
    <row r="919" s="1" customFormat="1" ht="16.5" customHeight="1" x14ac:dyDescent="0.25"/>
    <row r="920" s="1" customFormat="1" ht="16.5" customHeight="1" x14ac:dyDescent="0.25"/>
    <row r="921" s="1" customFormat="1" ht="16.5" customHeight="1" x14ac:dyDescent="0.25"/>
    <row r="922" s="1" customFormat="1" ht="16.5" customHeight="1" x14ac:dyDescent="0.25"/>
    <row r="923" s="1" customFormat="1" ht="16.5" customHeight="1" x14ac:dyDescent="0.25"/>
    <row r="924" s="1" customFormat="1" ht="16.5" customHeight="1" x14ac:dyDescent="0.25"/>
    <row r="925" s="1" customFormat="1" ht="16.5" customHeight="1" x14ac:dyDescent="0.25"/>
    <row r="926" s="1" customFormat="1" ht="16.5" customHeight="1" x14ac:dyDescent="0.25"/>
    <row r="927" s="1" customFormat="1" ht="16.5" customHeight="1" x14ac:dyDescent="0.25"/>
    <row r="928" s="1" customFormat="1" ht="16.5" customHeight="1" x14ac:dyDescent="0.25"/>
    <row r="929" s="1" customFormat="1" ht="16.5" customHeight="1" x14ac:dyDescent="0.25"/>
    <row r="930" s="1" customFormat="1" ht="16.5" customHeight="1" x14ac:dyDescent="0.25"/>
    <row r="931" s="1" customFormat="1" ht="16.5" customHeight="1" x14ac:dyDescent="0.25"/>
    <row r="932" s="1" customFormat="1" ht="16.5" customHeight="1" x14ac:dyDescent="0.25"/>
    <row r="933" s="1" customFormat="1" ht="16.5" customHeight="1" x14ac:dyDescent="0.25"/>
    <row r="934" s="1" customFormat="1" ht="16.5" customHeight="1" x14ac:dyDescent="0.25"/>
    <row r="935" s="1" customFormat="1" ht="16.5" customHeight="1" x14ac:dyDescent="0.25"/>
    <row r="936" s="1" customFormat="1" ht="16.5" customHeight="1" x14ac:dyDescent="0.25"/>
    <row r="937" s="1" customFormat="1" ht="16.5" customHeight="1" x14ac:dyDescent="0.25"/>
    <row r="938" s="1" customFormat="1" ht="16.5" customHeight="1" x14ac:dyDescent="0.25"/>
    <row r="939" s="1" customFormat="1" ht="16.5" customHeight="1" x14ac:dyDescent="0.25"/>
    <row r="940" s="1" customFormat="1" ht="16.5" customHeight="1" x14ac:dyDescent="0.25"/>
    <row r="941" s="1" customFormat="1" ht="16.5" customHeight="1" x14ac:dyDescent="0.25"/>
    <row r="942" s="1" customFormat="1" ht="16.5" customHeight="1" x14ac:dyDescent="0.25"/>
    <row r="943" s="1" customFormat="1" ht="16.5" customHeight="1" x14ac:dyDescent="0.25"/>
    <row r="944" s="1" customFormat="1" ht="16.5" customHeight="1" x14ac:dyDescent="0.25"/>
    <row r="945" s="1" customFormat="1" ht="16.5" customHeight="1" x14ac:dyDescent="0.25"/>
    <row r="946" s="1" customFormat="1" ht="16.5" customHeight="1" x14ac:dyDescent="0.25"/>
    <row r="947" s="1" customFormat="1" ht="16.5" customHeight="1" x14ac:dyDescent="0.25"/>
    <row r="948" s="1" customFormat="1" ht="16.5" customHeight="1" x14ac:dyDescent="0.25"/>
    <row r="949" s="1" customFormat="1" ht="16.5" customHeight="1" x14ac:dyDescent="0.25"/>
    <row r="950" s="1" customFormat="1" ht="16.5" customHeight="1" x14ac:dyDescent="0.25"/>
    <row r="951" s="1" customFormat="1" ht="16.5" customHeight="1" x14ac:dyDescent="0.25"/>
    <row r="952" s="1" customFormat="1" ht="16.5" customHeight="1" x14ac:dyDescent="0.25"/>
    <row r="953" s="1" customFormat="1" ht="16.5" customHeight="1" x14ac:dyDescent="0.25"/>
    <row r="954" s="1" customFormat="1" ht="16.5" customHeight="1" x14ac:dyDescent="0.25"/>
    <row r="955" s="1" customFormat="1" ht="16.5" customHeight="1" x14ac:dyDescent="0.25"/>
    <row r="956" s="1" customFormat="1" ht="16.5" customHeight="1" x14ac:dyDescent="0.25"/>
    <row r="957" s="1" customFormat="1" ht="16.5" customHeight="1" x14ac:dyDescent="0.25"/>
    <row r="958" s="1" customFormat="1" ht="16.5" customHeight="1" x14ac:dyDescent="0.25"/>
    <row r="959" s="1" customFormat="1" ht="16.5" customHeight="1" x14ac:dyDescent="0.25"/>
    <row r="960" s="1" customFormat="1" ht="16.5" customHeight="1" x14ac:dyDescent="0.25"/>
    <row r="961" s="1" customFormat="1" ht="16.5" customHeight="1" x14ac:dyDescent="0.25"/>
    <row r="962" s="1" customFormat="1" ht="16.5" customHeight="1" x14ac:dyDescent="0.25"/>
    <row r="963" s="1" customFormat="1" ht="16.5" customHeight="1" x14ac:dyDescent="0.25"/>
    <row r="964" s="1" customFormat="1" ht="16.5" customHeight="1" x14ac:dyDescent="0.25"/>
    <row r="965" s="1" customFormat="1" ht="16.5" customHeight="1" x14ac:dyDescent="0.25"/>
    <row r="966" s="1" customFormat="1" ht="16.5" customHeight="1" x14ac:dyDescent="0.25"/>
    <row r="967" s="1" customFormat="1" ht="16.5" customHeight="1" x14ac:dyDescent="0.25"/>
    <row r="968" s="1" customFormat="1" ht="16.5" customHeight="1" x14ac:dyDescent="0.25"/>
    <row r="969" s="1" customFormat="1" ht="16.5" customHeight="1" x14ac:dyDescent="0.25"/>
    <row r="970" s="1" customFormat="1" ht="16.5" customHeight="1" x14ac:dyDescent="0.25"/>
    <row r="971" s="1" customFormat="1" ht="16.5" customHeight="1" x14ac:dyDescent="0.25"/>
    <row r="972" s="1" customFormat="1" ht="16.5" customHeight="1" x14ac:dyDescent="0.25"/>
    <row r="973" s="1" customFormat="1" ht="16.5" customHeight="1" x14ac:dyDescent="0.25"/>
    <row r="974" s="1" customFormat="1" ht="16.5" customHeight="1" x14ac:dyDescent="0.25"/>
    <row r="975" s="1" customFormat="1" ht="16.5" customHeight="1" x14ac:dyDescent="0.25"/>
    <row r="976" s="1" customFormat="1" ht="16.5" customHeight="1" x14ac:dyDescent="0.25"/>
    <row r="977" s="1" customFormat="1" ht="16.5" customHeight="1" x14ac:dyDescent="0.25"/>
    <row r="978" s="1" customFormat="1" ht="16.5" customHeight="1" x14ac:dyDescent="0.25"/>
    <row r="979" s="1" customFormat="1" ht="16.5" customHeight="1" x14ac:dyDescent="0.25"/>
    <row r="980" s="1" customFormat="1" ht="16.5" customHeight="1" x14ac:dyDescent="0.25"/>
    <row r="981" s="1" customFormat="1" ht="16.5" customHeight="1" x14ac:dyDescent="0.25"/>
    <row r="982" s="1" customFormat="1" ht="16.5" customHeight="1" x14ac:dyDescent="0.25"/>
    <row r="983" s="1" customFormat="1" ht="16.5" customHeight="1" x14ac:dyDescent="0.25"/>
    <row r="984" s="1" customFormat="1" ht="16.5" customHeight="1" x14ac:dyDescent="0.25"/>
    <row r="985" s="1" customFormat="1" ht="16.5" customHeight="1" x14ac:dyDescent="0.25"/>
    <row r="986" s="1" customFormat="1" ht="16.5" customHeight="1" x14ac:dyDescent="0.25"/>
    <row r="987" s="1" customFormat="1" ht="16.5" customHeight="1" x14ac:dyDescent="0.25"/>
    <row r="988" s="1" customFormat="1" ht="16.5" customHeight="1" x14ac:dyDescent="0.25"/>
    <row r="989" s="1" customFormat="1" ht="16.5" customHeight="1" x14ac:dyDescent="0.25"/>
    <row r="990" s="1" customFormat="1" ht="16.5" customHeight="1" x14ac:dyDescent="0.25"/>
    <row r="991" s="1" customFormat="1" ht="16.5" customHeight="1" x14ac:dyDescent="0.25"/>
    <row r="992" s="1" customFormat="1" ht="16.5" customHeight="1" x14ac:dyDescent="0.25"/>
    <row r="993" s="1" customFormat="1" ht="16.5" customHeight="1" x14ac:dyDescent="0.25"/>
    <row r="994" s="1" customFormat="1" ht="16.5" customHeight="1" x14ac:dyDescent="0.25"/>
    <row r="995" s="1" customFormat="1" ht="16.5" customHeight="1" x14ac:dyDescent="0.25"/>
    <row r="996" s="1" customFormat="1" ht="16.5" customHeight="1" x14ac:dyDescent="0.25"/>
    <row r="997" s="1" customFormat="1" ht="16.5" customHeight="1" x14ac:dyDescent="0.25"/>
    <row r="998" s="1" customFormat="1" ht="16.5" customHeight="1" x14ac:dyDescent="0.25"/>
    <row r="999" s="1" customFormat="1" ht="16.5" customHeight="1" x14ac:dyDescent="0.25"/>
    <row r="1000" s="1" customFormat="1" ht="16.5" customHeight="1" x14ac:dyDescent="0.25"/>
  </sheetData>
  <mergeCells count="14">
    <mergeCell ref="C17:J17"/>
    <mergeCell ref="K17:L17"/>
    <mergeCell ref="C18:J18"/>
    <mergeCell ref="K18:L18"/>
    <mergeCell ref="C19:J19"/>
    <mergeCell ref="K19:L19"/>
    <mergeCell ref="C3:E3"/>
    <mergeCell ref="C4:E4"/>
    <mergeCell ref="D6:E6"/>
    <mergeCell ref="C12:I12"/>
    <mergeCell ref="D13:E13"/>
    <mergeCell ref="C15:I15"/>
    <mergeCell ref="K16:L16"/>
    <mergeCell ref="C16:J16"/>
  </mergeCells>
  <hyperlinks>
    <hyperlink ref="L2" location="Contents!A1" display="Contents" xr:uid="{42D5AE64-A2BD-49E3-93C8-B220C763F3AB}"/>
  </hyperlinks>
  <pageMargins left="0.69986110925674438" right="0.69986110925674438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6.Cheesling Fries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yonghun lee</dc:creator>
  <cp:lastModifiedBy>yonghun lee</cp:lastModifiedBy>
  <dcterms:created xsi:type="dcterms:W3CDTF">2026-01-20T19:16:42Z</dcterms:created>
  <dcterms:modified xsi:type="dcterms:W3CDTF">2026-01-20T19:17:36Z</dcterms:modified>
</cp:coreProperties>
</file>